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xmlns:r="http://schemas.openxmlformats.org/officeDocument/2006/relationships" name="📊 Painel" sheetId="1" state="visible" r:id="rId1"/>
    <sheet xmlns:r="http://schemas.openxmlformats.org/officeDocument/2006/relationships" name="Shoppe" sheetId="2" state="visible" r:id="rId2"/>
    <sheet xmlns:r="http://schemas.openxmlformats.org/officeDocument/2006/relationships" name="Mercado Livre" sheetId="3" state="visible" r:id="rId3"/>
    <sheet xmlns:r="http://schemas.openxmlformats.org/officeDocument/2006/relationships" name="Shein" sheetId="4" state="visible" r:id="rId4"/>
    <sheet xmlns:r="http://schemas.openxmlformats.org/officeDocument/2006/relationships" name="Auxiliar" sheetId="5" state="visible" r:id="rId5"/>
  </sheets>
  <externalReferences>
    <externalReference xmlns:r="http://schemas.openxmlformats.org/officeDocument/2006/relationships" r:id="rId6"/>
  </externalReferences>
  <definedNames>
    <definedName name="SegmentaçãodeDados_Loja">#N/A</definedName>
    <definedName name="SegmentaçãodeDados_Loja1">#N/A</definedName>
    <definedName name="SegmentaçãodeDados_Loja2">#N/A</definedName>
    <definedName name="SegmentaçãodeDados_Prefixo">#N/A</definedName>
    <definedName name="SegmentaçãodeDados_Prefixo1">#N/A</definedName>
    <definedName name="SegmentaçãodeDados_Prefixo2">#N/A</definedName>
    <definedName name="tabelaAchei">[1]TABELA_PRINCIPAL!#REF!</definedName>
    <definedName name="tabelaAchei" localSheetId="1">tb_preco_shp[]</definedName>
    <definedName name="tabelaAchei" localSheetId="2">tb_preco_ML[]</definedName>
    <definedName name="tabelaAchei" localSheetId="3">Tabela1[]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[$R$-416]\ * #,##0.00_-;\-[$R$-416]\ * #,##0.00_-;_-[$R$-416]\ * &quot;-&quot;??_-;_-@_-"/>
    <numFmt numFmtId="165" formatCode="_-&quot;R$&quot;\ * #,##0.00_-;\-&quot;R$&quot;\ * #,##0.00_-;_-&quot;R$&quot;\ * &quot;-&quot;??_-;_-@_-"/>
    <numFmt numFmtId="166" formatCode="0.0%"/>
    <numFmt numFmtId="167" formatCode="&quot;R$&quot;\ #,##0.00;[Red]\-&quot;R$&quot;\ #,##0.00"/>
    <numFmt numFmtId="168" formatCode="R$ #,##0.00"/>
  </numFmts>
  <fonts count="5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Bahnschrift SemiBold"/>
      <family val="2"/>
      <color theme="0"/>
      <sz val="20"/>
    </font>
    <font>
      <name val="Calibri"/>
      <family val="2"/>
      <color theme="1"/>
      <sz val="11"/>
      <u val="single"/>
      <scheme val="minor"/>
    </font>
    <font>
      <name val="Roboto"/>
      <color rgb="FF434343"/>
      <sz val="10"/>
    </font>
    <font>
      <name val="Calibri"/>
      <family val="2"/>
      <sz val="8"/>
      <scheme val="minor"/>
    </font>
    <font>
      <name val="Calibri"/>
      <family val="2"/>
      <color theme="0"/>
      <sz val="28"/>
      <scheme val="minor"/>
    </font>
    <font>
      <name val="Segoe UI"/>
      <family val="2"/>
      <b val="1"/>
      <color indexed="81"/>
      <sz val="9"/>
    </font>
    <font>
      <name val="Calibri"/>
      <family val="2"/>
      <b val="1"/>
      <color rgb="FFFF0000"/>
      <sz val="11"/>
      <u val="single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theme="2" tint="-0.499984740745262"/>
      <sz val="11"/>
      <scheme val="minor"/>
    </font>
    <font>
      <name val="Calibri"/>
      <family val="2"/>
      <color theme="1" tint="0.499984740745262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0"/>
      <u val="single"/>
      <scheme val="minor"/>
    </font>
    <font>
      <name val="Calibri"/>
      <family val="2"/>
      <color rgb="FF000000"/>
      <sz val="10"/>
      <scheme val="minor"/>
    </font>
    <font>
      <name val="Calibri"/>
      <family val="2"/>
      <color theme="2" tint="-0.499984740745262"/>
      <sz val="10"/>
      <scheme val="minor"/>
    </font>
    <font>
      <name val="Calibri"/>
      <family val="2"/>
      <b val="1"/>
      <color theme="1" tint="0.1499984740745262"/>
      <sz val="14"/>
      <scheme val="minor"/>
    </font>
    <font>
      <name val="Calibri"/>
      <family val="2"/>
      <color theme="1" tint="0.3499862666707358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0" tint="-0.499984740745262"/>
      <sz val="10"/>
      <scheme val="minor"/>
    </font>
    <font>
      <name val="Calibri"/>
      <b val="1"/>
      <color rgb="00FFFFFF"/>
      <sz val="14"/>
    </font>
    <font>
      <name val="Calibri"/>
      <color rgb="00343A40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343A40"/>
      <sz val="10"/>
    </font>
    <font>
      <name val="Calibri"/>
      <color rgb="0014532D"/>
      <sz val="10"/>
    </font>
    <font>
      <name val="Calibri"/>
      <b val="1"/>
      <color rgb="0014532D"/>
      <sz val="10"/>
    </font>
    <font>
      <name val="Calibri"/>
      <color rgb="00D97706"/>
      <sz val="10"/>
    </font>
    <font>
      <name val="Calibri"/>
      <b val="1"/>
      <color rgb="00D97706"/>
      <sz val="10"/>
    </font>
    <font>
      <name val="Calibri"/>
      <b val="1"/>
      <color rgb="00FFFFFF"/>
      <sz val="9"/>
    </font>
    <font>
      <name val="Calibri"/>
      <b val="1"/>
      <color rgb="00D97706"/>
      <sz val="9"/>
    </font>
    <font>
      <name val="Calibri"/>
      <b val="1"/>
      <color rgb="00E8420D"/>
      <sz val="9"/>
    </font>
    <font>
      <name val="Calibri"/>
      <b val="1"/>
      <color rgb="00E8420D"/>
      <sz val="10"/>
    </font>
    <font>
      <name val="Calibri"/>
      <b val="1"/>
      <color rgb="007A4F00"/>
      <sz val="14"/>
    </font>
    <font>
      <name val="Calibri"/>
      <b val="1"/>
      <color rgb="007A4F00"/>
      <sz val="9"/>
    </font>
    <font>
      <name val="Calibri"/>
      <b val="1"/>
      <color rgb="001C1C1C"/>
      <sz val="9"/>
    </font>
    <font>
      <name val="Calibri"/>
      <b val="1"/>
      <color rgb="001C1C1C"/>
      <sz val="10"/>
    </font>
    <font>
      <name val="Calibri"/>
      <b val="1"/>
      <color rgb="00FFFFFF"/>
      <sz val="18"/>
    </font>
    <font>
      <name val="Calibri"/>
      <color rgb="00FFFFFF"/>
      <sz val="10"/>
    </font>
    <font>
      <name val="Calibri"/>
      <b val="1"/>
      <color rgb="00FFFFFF"/>
      <sz val="13"/>
    </font>
    <font>
      <name val="Calibri"/>
      <b val="1"/>
      <color rgb="007A4F00"/>
      <sz val="13"/>
    </font>
    <font>
      <name val="Calibri"/>
      <b val="1"/>
      <color rgb="0014532D"/>
      <sz val="12"/>
    </font>
    <font>
      <name val="Calibri"/>
      <b val="1"/>
      <color rgb="001E3A8A"/>
      <sz val="12"/>
    </font>
    <font>
      <name val="Calibri"/>
      <b val="1"/>
      <color rgb="001E3A8A"/>
      <sz val="10"/>
    </font>
    <font>
      <name val="Calibri"/>
      <b val="1"/>
      <color rgb="00D97706"/>
      <sz val="12"/>
    </font>
    <font>
      <name val="Calibri"/>
      <b val="1"/>
      <color rgb="006C757D"/>
      <sz val="12"/>
    </font>
    <font>
      <name val="Calibri"/>
      <b val="1"/>
      <color rgb="006C757D"/>
      <sz val="10"/>
    </font>
    <font>
      <name val="Calibri"/>
      <b val="1"/>
      <color rgb="0014532D"/>
      <sz val="9"/>
    </font>
    <font>
      <name val="Calibri"/>
      <b val="1"/>
      <color rgb="001E3A8A"/>
      <sz val="9"/>
    </font>
    <font>
      <name val="Calibri"/>
      <b val="1"/>
      <color rgb="006C757D"/>
      <sz val="9"/>
    </font>
  </fonts>
  <fills count="45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1D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343A4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D97706"/>
      </patternFill>
    </fill>
    <fill>
      <patternFill patternType="solid">
        <fgColor rgb="001C1C1C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DDDD3"/>
      </patternFill>
    </fill>
    <fill>
      <patternFill patternType="solid">
        <fgColor rgb="00FFF5F0"/>
      </patternFill>
    </fill>
    <fill>
      <patternFill patternType="solid">
        <fgColor rgb="00E8420D"/>
      </patternFill>
    </fill>
    <fill>
      <patternFill patternType="solid">
        <fgColor rgb="006C757D"/>
      </patternFill>
    </fill>
    <fill>
      <patternFill patternType="solid">
        <fgColor rgb="0014532D"/>
      </patternFill>
    </fill>
    <fill>
      <patternFill patternType="solid">
        <fgColor rgb="00F1F3F5"/>
      </patternFill>
    </fill>
    <fill>
      <patternFill patternType="solid">
        <fgColor rgb="00F5A623"/>
      </patternFill>
    </fill>
    <fill>
      <patternFill patternType="solid">
        <fgColor rgb="00FFFBEB"/>
      </patternFill>
    </fill>
    <fill>
      <patternFill patternType="solid">
        <fgColor rgb="00E8E8E8"/>
      </patternFill>
    </fill>
    <fill>
      <patternFill patternType="solid">
        <fgColor rgb="00F5F5F5"/>
      </patternFill>
    </fill>
    <fill>
      <patternFill patternType="solid">
        <fgColor rgb="00ADB5BD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rgb="FF284E3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00343A40"/>
      </left>
      <right style="thin">
        <color rgb="00343A40"/>
      </right>
      <top style="thin">
        <color rgb="00343A40"/>
      </top>
      <bottom style="thin">
        <color rgb="00343A40"/>
      </bottom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  <border>
      <left style="thin">
        <color rgb="006C757D"/>
      </left>
      <right style="thin">
        <color rgb="006C757D"/>
      </right>
      <top style="thin">
        <color rgb="006C757D"/>
      </top>
      <bottom style="thin">
        <color rgb="006C757D"/>
      </bottom>
    </border>
    <border>
      <left style="thin">
        <color rgb="00E8420D"/>
      </left>
      <right style="thin">
        <color rgb="00E8420D"/>
      </right>
      <top style="thin">
        <color rgb="00E8420D"/>
      </top>
      <bottom style="thin">
        <color rgb="00E8420D"/>
      </bottom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FEF3C7"/>
      </left>
      <right style="thin">
        <color rgb="00FEF3C7"/>
      </right>
      <top style="thin">
        <color rgb="00FEF3C7"/>
      </top>
      <bottom style="thin">
        <color rgb="00FEF3C7"/>
      </bottom>
    </border>
    <border>
      <left style="thin">
        <color rgb="0014532D"/>
      </left>
      <right style="thin">
        <color rgb="0014532D"/>
      </right>
      <top style="thin">
        <color rgb="0014532D"/>
      </top>
      <bottom style="thin">
        <color rgb="0014532D"/>
      </bottom>
    </border>
    <border>
      <left style="thin">
        <color rgb="001E3A8A"/>
      </left>
      <right style="thin">
        <color rgb="001E3A8A"/>
      </right>
      <top style="thin">
        <color rgb="001E3A8A"/>
      </top>
      <bottom style="thin">
        <color rgb="001E3A8A"/>
      </bottom>
    </border>
    <border>
      <left style="thin">
        <color rgb="00F5A623"/>
      </left>
      <right style="thin">
        <color rgb="00F5A623"/>
      </right>
      <top style="thin">
        <color rgb="00F5A623"/>
      </top>
      <bottom style="thin">
        <color rgb="00F5A623"/>
      </bottom>
    </border>
    <border>
      <left style="thin">
        <color rgb="001C1C1C"/>
      </left>
      <right style="thin">
        <color rgb="001C1C1C"/>
      </right>
      <top style="thin">
        <color rgb="001C1C1C"/>
      </top>
      <bottom style="thin">
        <color rgb="001C1C1C"/>
      </bottom>
    </border>
    <border>
      <left/>
      <right/>
      <top style="thin">
        <color rgb="0014532D"/>
      </top>
      <bottom/>
      <diagonal/>
    </border>
    <border>
      <left/>
      <right style="thin">
        <color rgb="0014532D"/>
      </right>
      <top style="thin">
        <color rgb="0014532D"/>
      </top>
      <bottom/>
      <diagonal/>
    </border>
    <border>
      <left/>
      <right style="thin">
        <color rgb="0014532D"/>
      </right>
      <top style="thin">
        <color rgb="0014532D"/>
      </top>
      <bottom style="thin">
        <color rgb="0014532D"/>
      </bottom>
      <diagonal/>
    </border>
    <border>
      <left/>
      <right/>
      <top style="thin">
        <color rgb="001E3A8A"/>
      </top>
      <bottom/>
      <diagonal/>
    </border>
    <border>
      <left/>
      <right style="thin">
        <color rgb="001E3A8A"/>
      </right>
      <top style="thin">
        <color rgb="001E3A8A"/>
      </top>
      <bottom/>
      <diagonal/>
    </border>
    <border>
      <left/>
      <right style="thin">
        <color rgb="001E3A8A"/>
      </right>
      <top style="thin">
        <color rgb="001E3A8A"/>
      </top>
      <bottom style="thin">
        <color rgb="001E3A8A"/>
      </bottom>
      <diagonal/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/>
      <top style="thin">
        <color rgb="00E8420D"/>
      </top>
      <bottom/>
      <diagonal/>
    </border>
    <border>
      <left/>
      <right style="thin">
        <color rgb="00E8420D"/>
      </right>
      <top style="thin">
        <color rgb="00E8420D"/>
      </top>
      <bottom/>
      <diagonal/>
    </border>
    <border>
      <left/>
      <right style="thin">
        <color rgb="00E8420D"/>
      </right>
      <top style="thin">
        <color rgb="00E8420D"/>
      </top>
      <bottom style="thin">
        <color rgb="00E8420D"/>
      </bottom>
      <diagonal/>
    </border>
    <border>
      <left style="thin">
        <color rgb="007A4F00"/>
      </left>
      <right style="thin">
        <color rgb="007A4F00"/>
      </right>
      <top style="thin">
        <color rgb="007A4F00"/>
      </top>
      <bottom style="thin">
        <color rgb="007A4F00"/>
      </bottom>
    </border>
    <border>
      <left/>
      <right/>
      <top style="thin">
        <color rgb="007A4F00"/>
      </top>
      <bottom/>
      <diagonal/>
    </border>
    <border>
      <left/>
      <right style="thin">
        <color rgb="007A4F00"/>
      </right>
      <top style="thin">
        <color rgb="007A4F00"/>
      </top>
      <bottom/>
      <diagonal/>
    </border>
    <border>
      <left/>
      <right style="thin">
        <color rgb="007A4F00"/>
      </right>
      <top style="thin">
        <color rgb="007A4F00"/>
      </top>
      <bottom style="thin">
        <color rgb="007A4F00"/>
      </bottom>
      <diagonal/>
    </border>
    <border>
      <left/>
      <right/>
      <top style="thin">
        <color rgb="001C1C1C"/>
      </top>
      <bottom/>
      <diagonal/>
    </border>
    <border>
      <left/>
      <right style="thin">
        <color rgb="001C1C1C"/>
      </right>
      <top style="thin">
        <color rgb="001C1C1C"/>
      </top>
      <bottom/>
      <diagonal/>
    </border>
    <border>
      <left/>
      <right style="thin">
        <color rgb="001C1C1C"/>
      </right>
      <top style="thin">
        <color rgb="001C1C1C"/>
      </top>
      <bottom style="thin">
        <color rgb="001C1C1C"/>
      </bottom>
      <diagonal/>
    </border>
    <border>
      <left/>
      <right/>
      <top style="thin">
        <color rgb="006C757D"/>
      </top>
      <bottom/>
      <diagonal/>
    </border>
    <border>
      <left/>
      <right style="thin">
        <color rgb="006C757D"/>
      </right>
      <top style="thin">
        <color rgb="006C757D"/>
      </top>
      <bottom/>
      <diagonal/>
    </border>
    <border>
      <left/>
      <right style="thin">
        <color rgb="006C757D"/>
      </right>
      <top style="thin">
        <color rgb="006C757D"/>
      </top>
      <bottom style="thin">
        <color rgb="006C757D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0" fontId="23" fillId="0" borderId="0"/>
  </cellStyleXfs>
  <cellXfs count="27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9" fontId="0" fillId="0" borderId="0" pivotButton="0" quotePrefix="0" xfId="0"/>
    <xf numFmtId="0" fontId="3" fillId="0" borderId="0" pivotButton="0" quotePrefix="0" xfId="0"/>
    <xf numFmtId="0" fontId="0" fillId="3" borderId="2" pivotButton="0" quotePrefix="0" xfId="0"/>
    <xf numFmtId="0" fontId="0" fillId="0" borderId="2" pivotButton="0" quotePrefix="0" xfId="0"/>
    <xf numFmtId="0" fontId="4" fillId="4" borderId="3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4" fillId="4" borderId="5" applyAlignment="1" pivotButton="0" quotePrefix="0" xfId="0">
      <alignment vertical="center" wrapText="1"/>
    </xf>
    <xf numFmtId="0" fontId="0" fillId="7" borderId="0" pivotButton="0" quotePrefix="0" xfId="0"/>
    <xf numFmtId="0" fontId="0" fillId="10" borderId="0" pivotButton="0" quotePrefix="0" xfId="0"/>
    <xf numFmtId="0" fontId="0" fillId="10" borderId="0" applyAlignment="1" pivotButton="0" quotePrefix="0" xfId="0">
      <alignment horizontal="center"/>
    </xf>
    <xf numFmtId="0" fontId="8" fillId="7" borderId="12" applyAlignment="1" pivotButton="0" quotePrefix="0" xfId="0">
      <alignment horizontal="center"/>
    </xf>
    <xf numFmtId="0" fontId="0" fillId="0" borderId="0" pivotButton="0" quotePrefix="1" xfId="0"/>
    <xf numFmtId="164" fontId="0" fillId="14" borderId="0" applyAlignment="1" applyProtection="1" pivotButton="0" quotePrefix="0" xfId="0">
      <alignment horizontal="center"/>
      <protection locked="0" hidden="0"/>
    </xf>
    <xf numFmtId="165" fontId="0" fillId="14" borderId="0" applyProtection="1" pivotButton="0" quotePrefix="0" xfId="1">
      <protection locked="0" hidden="0"/>
    </xf>
    <xf numFmtId="166" fontId="0" fillId="14" borderId="0" applyAlignment="1" pivotButton="0" quotePrefix="0" xfId="2">
      <alignment horizontal="center"/>
    </xf>
    <xf numFmtId="164" fontId="0" fillId="15" borderId="0" applyAlignment="1" applyProtection="1" pivotButton="0" quotePrefix="0" xfId="0">
      <alignment horizontal="center"/>
      <protection locked="0" hidden="0"/>
    </xf>
    <xf numFmtId="165" fontId="0" fillId="15" borderId="0" applyProtection="1" pivotButton="0" quotePrefix="0" xfId="1">
      <protection locked="0" hidden="0"/>
    </xf>
    <xf numFmtId="166" fontId="0" fillId="15" borderId="0" applyAlignment="1" pivotButton="0" quotePrefix="0" xfId="2">
      <alignment horizontal="center"/>
    </xf>
    <xf numFmtId="0" fontId="0" fillId="16" borderId="0" applyAlignment="1" pivotButton="0" quotePrefix="0" xfId="0">
      <alignment horizontal="center"/>
    </xf>
    <xf numFmtId="0" fontId="0" fillId="16" borderId="0" applyAlignment="1" applyProtection="1" pivotButton="0" quotePrefix="0" xfId="0">
      <alignment horizontal="left"/>
      <protection locked="0" hidden="0"/>
    </xf>
    <xf numFmtId="0" fontId="0" fillId="17" borderId="0" applyAlignment="1" applyProtection="1" pivotButton="0" quotePrefix="0" xfId="0">
      <alignment horizontal="left"/>
      <protection locked="0" hidden="0"/>
    </xf>
    <xf numFmtId="165" fontId="14" fillId="18" borderId="0" applyAlignment="1" pivotButton="0" quotePrefix="0" xfId="1">
      <alignment horizontal="center"/>
    </xf>
    <xf numFmtId="165" fontId="14" fillId="18" borderId="0" applyAlignment="1" pivotButton="0" quotePrefix="0" xfId="2">
      <alignment horizontal="center"/>
    </xf>
    <xf numFmtId="165" fontId="14" fillId="8" borderId="0" applyAlignment="1" pivotButton="0" quotePrefix="0" xfId="1">
      <alignment horizontal="center"/>
    </xf>
    <xf numFmtId="165" fontId="14" fillId="8" borderId="0" applyAlignment="1" pivotButton="0" quotePrefix="0" xfId="2">
      <alignment horizontal="center"/>
    </xf>
    <xf numFmtId="165" fontId="14" fillId="14" borderId="0" applyAlignment="1" pivotButton="0" quotePrefix="0" xfId="1">
      <alignment horizontal="center"/>
    </xf>
    <xf numFmtId="165" fontId="14" fillId="15" borderId="0" applyAlignment="1" pivotButton="0" quotePrefix="0" xfId="1">
      <alignment horizontal="center"/>
    </xf>
    <xf numFmtId="9" fontId="14" fillId="14" borderId="0" applyAlignment="1" pivotButton="0" quotePrefix="0" xfId="2">
      <alignment horizontal="center"/>
    </xf>
    <xf numFmtId="9" fontId="14" fillId="15" borderId="0" applyAlignment="1" pivotButton="0" quotePrefix="0" xfId="2">
      <alignment horizontal="center"/>
    </xf>
    <xf numFmtId="165" fontId="14" fillId="14" borderId="0" pivotButton="0" quotePrefix="0" xfId="1"/>
    <xf numFmtId="165" fontId="14" fillId="15" borderId="0" pivotButton="0" quotePrefix="0" xfId="1"/>
    <xf numFmtId="165" fontId="14" fillId="16" borderId="0" applyAlignment="1" pivotButton="0" quotePrefix="0" xfId="2">
      <alignment horizontal="center"/>
    </xf>
    <xf numFmtId="0" fontId="14" fillId="16" borderId="0" applyAlignment="1" pivotButton="0" quotePrefix="0" xfId="0">
      <alignment horizontal="center"/>
    </xf>
    <xf numFmtId="165" fontId="14" fillId="17" borderId="0" applyAlignment="1" pivotButton="0" quotePrefix="0" xfId="2">
      <alignment horizontal="center"/>
    </xf>
    <xf numFmtId="0" fontId="14" fillId="17" borderId="0" applyAlignment="1" pivotButton="0" quotePrefix="0" xfId="2">
      <alignment horizontal="center"/>
    </xf>
    <xf numFmtId="0" fontId="16" fillId="0" borderId="0" pivotButton="0" quotePrefix="0" xfId="0"/>
    <xf numFmtId="0" fontId="16" fillId="8" borderId="0" pivotButton="0" quotePrefix="0" xfId="0"/>
    <xf numFmtId="0" fontId="12" fillId="8" borderId="0" applyAlignment="1" pivotButton="0" quotePrefix="0" xfId="0">
      <alignment horizontal="center"/>
    </xf>
    <xf numFmtId="0" fontId="16" fillId="8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164" fontId="0" fillId="14" borderId="0" applyAlignment="1" pivotButton="0" quotePrefix="0" xfId="0">
      <alignment horizontal="center"/>
    </xf>
    <xf numFmtId="165" fontId="0" fillId="14" borderId="0" applyAlignment="1" pivotButton="0" quotePrefix="0" xfId="1">
      <alignment horizontal="center"/>
    </xf>
    <xf numFmtId="166" fontId="0" fillId="14" borderId="0" applyAlignment="1" pivotButton="0" quotePrefix="0" xfId="2">
      <alignment horizontal="center"/>
    </xf>
    <xf numFmtId="164" fontId="0" fillId="15" borderId="0" applyAlignment="1" pivotButton="0" quotePrefix="0" xfId="0">
      <alignment horizontal="center"/>
    </xf>
    <xf numFmtId="165" fontId="0" fillId="15" borderId="0" applyAlignment="1" pivotButton="0" quotePrefix="0" xfId="1">
      <alignment horizontal="center"/>
    </xf>
    <xf numFmtId="166" fontId="0" fillId="15" borderId="0" applyAlignment="1" pivotButton="0" quotePrefix="0" xfId="2">
      <alignment horizontal="center"/>
    </xf>
    <xf numFmtId="0" fontId="0" fillId="11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20" borderId="0" applyAlignment="1" pivotButton="0" quotePrefix="0" xfId="0">
      <alignment horizontal="center" vertical="center" wrapText="1"/>
    </xf>
    <xf numFmtId="9" fontId="0" fillId="20" borderId="0" applyAlignment="1" pivotButton="0" quotePrefix="0" xfId="2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  <xf numFmtId="9" fontId="0" fillId="13" borderId="0" applyAlignment="1" pivotButton="0" quotePrefix="0" xfId="0">
      <alignment horizontal="center" vertical="center" wrapText="1"/>
    </xf>
    <xf numFmtId="9" fontId="0" fillId="13" borderId="0" applyAlignment="1" pivotButton="0" quotePrefix="1" xfId="0">
      <alignment horizontal="center" vertical="center" wrapText="1"/>
    </xf>
    <xf numFmtId="0" fontId="12" fillId="9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0" fontId="12" fillId="12" borderId="11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9" fontId="12" fillId="13" borderId="0" applyAlignment="1" pivotButton="0" quotePrefix="0" xfId="0">
      <alignment horizontal="center" vertical="center" wrapText="1"/>
    </xf>
    <xf numFmtId="9" fontId="12" fillId="13" borderId="0" applyAlignment="1" pivotButton="0" quotePrefix="1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shrinkToFit="1"/>
    </xf>
    <xf numFmtId="0" fontId="0" fillId="11" borderId="0" applyAlignment="1" pivotButton="0" quotePrefix="0" xfId="0">
      <alignment horizontal="center" shrinkToFit="1"/>
    </xf>
    <xf numFmtId="0" fontId="0" fillId="16" borderId="0" applyAlignment="1" applyProtection="1" pivotButton="0" quotePrefix="0" xfId="0">
      <alignment horizontal="left" shrinkToFit="1"/>
      <protection locked="0" hidden="0"/>
    </xf>
    <xf numFmtId="0" fontId="0" fillId="17" borderId="0" applyAlignment="1" pivotButton="0" quotePrefix="0" xfId="0">
      <alignment horizontal="left" shrinkToFit="1"/>
    </xf>
    <xf numFmtId="165" fontId="21" fillId="14" borderId="0" applyAlignment="1" pivotButton="0" quotePrefix="0" xfId="1">
      <alignment horizontal="center"/>
    </xf>
    <xf numFmtId="165" fontId="21" fillId="15" borderId="0" applyAlignment="1" pivotButton="0" quotePrefix="0" xfId="1">
      <alignment horizontal="center"/>
    </xf>
    <xf numFmtId="165" fontId="21" fillId="16" borderId="0" applyAlignment="1" applyProtection="1" pivotButton="0" quotePrefix="0" xfId="2">
      <alignment horizontal="center"/>
      <protection locked="0" hidden="0"/>
    </xf>
    <xf numFmtId="165" fontId="21" fillId="11" borderId="0" applyAlignment="1" applyProtection="1" pivotButton="0" quotePrefix="0" xfId="2">
      <alignment horizontal="center"/>
      <protection locked="0" hidden="0"/>
    </xf>
    <xf numFmtId="9" fontId="21" fillId="14" borderId="0" applyAlignment="1" pivotButton="0" quotePrefix="0" xfId="2">
      <alignment horizontal="center"/>
    </xf>
    <xf numFmtId="9" fontId="21" fillId="15" borderId="0" applyAlignment="1" pivotButton="0" quotePrefix="0" xfId="2">
      <alignment horizontal="center"/>
    </xf>
    <xf numFmtId="165" fontId="21" fillId="18" borderId="0" applyAlignment="1" pivotButton="0" quotePrefix="0" xfId="2">
      <alignment horizontal="center"/>
    </xf>
    <xf numFmtId="165" fontId="21" fillId="18" borderId="0" pivotButton="0" quotePrefix="0" xfId="1"/>
    <xf numFmtId="165" fontId="21" fillId="18" borderId="0" applyAlignment="1" pivotButton="0" quotePrefix="0" xfId="0">
      <alignment horizontal="center"/>
    </xf>
    <xf numFmtId="165" fontId="21" fillId="8" borderId="0" applyAlignment="1" pivotButton="0" quotePrefix="0" xfId="2">
      <alignment horizontal="center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9" fontId="0" fillId="14" borderId="0" applyAlignment="1" applyProtection="1" pivotButton="0" quotePrefix="0" xfId="2">
      <alignment horizontal="center" shrinkToFit="1"/>
      <protection locked="0" hidden="0"/>
    </xf>
    <xf numFmtId="9" fontId="0" fillId="15" borderId="0" applyAlignment="1" applyProtection="1" pivotButton="0" quotePrefix="0" xfId="2">
      <alignment horizontal="center" shrinkToFit="1"/>
      <protection locked="0" hidden="0"/>
    </xf>
    <xf numFmtId="9" fontId="0" fillId="14" borderId="0" applyAlignment="1" pivotButton="0" quotePrefix="0" xfId="2">
      <alignment horizontal="center" shrinkToFit="1"/>
    </xf>
    <xf numFmtId="9" fontId="0" fillId="15" borderId="0" applyAlignment="1" pivotButton="0" quotePrefix="0" xfId="2">
      <alignment horizontal="center" shrinkToFit="1"/>
    </xf>
    <xf numFmtId="0" fontId="0" fillId="7" borderId="0" applyAlignment="1" pivotButton="0" quotePrefix="0" xfId="0">
      <alignment horizontal="center"/>
    </xf>
    <xf numFmtId="166" fontId="0" fillId="14" borderId="0" applyAlignment="1" pivotButton="0" quotePrefix="0" xfId="0">
      <alignment horizontal="center"/>
    </xf>
    <xf numFmtId="9" fontId="0" fillId="0" borderId="0" applyAlignment="1" pivotButton="0" quotePrefix="0" xfId="0">
      <alignment horizontal="center" vertical="center" wrapText="1"/>
    </xf>
    <xf numFmtId="165" fontId="15" fillId="18" borderId="0" pivotButton="0" quotePrefix="0" xfId="1"/>
    <xf numFmtId="165" fontId="15" fillId="8" borderId="0" pivotButton="0" quotePrefix="0" xfId="1"/>
    <xf numFmtId="0" fontId="12" fillId="0" borderId="8" applyAlignment="1" applyProtection="1" pivotButton="0" quotePrefix="0" xfId="0">
      <alignment horizontal="center" vertical="center" wrapText="1"/>
      <protection locked="1" hidden="1"/>
    </xf>
    <xf numFmtId="0" fontId="16" fillId="8" borderId="0" applyAlignment="1" pivotButton="0" quotePrefix="0" xfId="0">
      <alignment vertical="center"/>
    </xf>
    <xf numFmtId="0" fontId="17" fillId="7" borderId="12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8" fillId="7" borderId="12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9" fillId="23" borderId="14" applyAlignment="1" pivotButton="0" quotePrefix="0" xfId="3">
      <alignment horizontal="center" vertical="center" wrapText="1"/>
    </xf>
    <xf numFmtId="0" fontId="9" fillId="23" borderId="12" applyAlignment="1" pivotButton="0" quotePrefix="0" xfId="3">
      <alignment horizontal="center" vertical="center" wrapText="1"/>
    </xf>
    <xf numFmtId="0" fontId="13" fillId="9" borderId="8" applyAlignment="1" pivotButton="0" quotePrefix="0" xfId="0">
      <alignment horizontal="center" vertical="center" wrapText="1"/>
    </xf>
    <xf numFmtId="0" fontId="13" fillId="9" borderId="9" applyAlignment="1" pivotButton="0" quotePrefix="0" xfId="0">
      <alignment horizontal="center" vertical="center" wrapText="1"/>
    </xf>
    <xf numFmtId="0" fontId="12" fillId="24" borderId="7" applyAlignment="1" pivotButton="0" quotePrefix="0" xfId="0">
      <alignment horizontal="center" vertical="center" wrapText="1"/>
    </xf>
    <xf numFmtId="0" fontId="12" fillId="24" borderId="8" applyAlignment="1" pivotButton="0" quotePrefix="0" xfId="0">
      <alignment horizontal="center" vertical="center" wrapText="1"/>
    </xf>
    <xf numFmtId="0" fontId="13" fillId="19" borderId="0" applyAlignment="1" pivotButton="0" quotePrefix="0" xfId="0">
      <alignment horizontal="center" vertical="center" wrapText="1"/>
    </xf>
    <xf numFmtId="0" fontId="13" fillId="19" borderId="8" applyAlignment="1" pivotButton="0" quotePrefix="0" xfId="0">
      <alignment horizontal="center" vertical="center" wrapText="1"/>
    </xf>
    <xf numFmtId="165" fontId="13" fillId="19" borderId="8" applyAlignment="1" pivotButton="0" quotePrefix="0" xfId="1">
      <alignment horizontal="center" vertical="center" wrapText="1"/>
    </xf>
    <xf numFmtId="0" fontId="13" fillId="19" borderId="8" applyAlignment="1" applyProtection="1" pivotButton="0" quotePrefix="0" xfId="0">
      <alignment horizontal="center" vertical="center" wrapText="1"/>
      <protection locked="1" hidden="1"/>
    </xf>
    <xf numFmtId="0" fontId="12" fillId="0" borderId="0" applyAlignment="1" pivotButton="0" quotePrefix="0" xfId="0">
      <alignment horizontal="center"/>
    </xf>
    <xf numFmtId="165" fontId="16" fillId="0" borderId="6" applyAlignment="1" applyProtection="1" pivotButton="0" quotePrefix="0" xfId="1">
      <alignment horizontal="center"/>
      <protection locked="0" hidden="0"/>
    </xf>
    <xf numFmtId="166" fontId="16" fillId="0" borderId="6" applyAlignment="1" applyProtection="1" pivotButton="0" quotePrefix="0" xfId="2">
      <alignment horizontal="center"/>
      <protection locked="0" hidden="0"/>
    </xf>
    <xf numFmtId="165" fontId="19" fillId="0" borderId="6" applyAlignment="1" pivotButton="0" quotePrefix="0" xfId="1">
      <alignment horizontal="center"/>
    </xf>
    <xf numFmtId="9" fontId="16" fillId="0" borderId="6" applyAlignment="1" pivotButton="0" quotePrefix="0" xfId="1">
      <alignment horizontal="center"/>
    </xf>
    <xf numFmtId="9" fontId="16" fillId="0" borderId="6" applyAlignment="1" applyProtection="1" pivotButton="0" quotePrefix="0" xfId="2">
      <alignment horizontal="center" shrinkToFit="1"/>
      <protection locked="0" hidden="0"/>
    </xf>
    <xf numFmtId="9" fontId="16" fillId="0" borderId="6" applyAlignment="1" applyProtection="1" pivotButton="0" quotePrefix="0" xfId="2">
      <alignment horizontal="center"/>
      <protection locked="0" hidden="0"/>
    </xf>
    <xf numFmtId="165" fontId="19" fillId="0" borderId="6" applyAlignment="1" applyProtection="1" pivotButton="0" quotePrefix="0" xfId="1">
      <alignment horizontal="center"/>
      <protection locked="0" hidden="0"/>
    </xf>
    <xf numFmtId="165" fontId="24" fillId="0" borderId="6" applyAlignment="1" pivotButton="0" quotePrefix="0" xfId="2">
      <alignment horizontal="center"/>
    </xf>
    <xf numFmtId="166" fontId="12" fillId="0" borderId="6" applyAlignment="1" pivotButton="0" quotePrefix="0" xfId="2">
      <alignment horizontal="center"/>
    </xf>
    <xf numFmtId="165" fontId="14" fillId="0" borderId="6" pivotButton="0" quotePrefix="0" xfId="1"/>
    <xf numFmtId="164" fontId="21" fillId="18" borderId="0" applyAlignment="1" pivotButton="0" quotePrefix="0" xfId="0">
      <alignment horizontal="center"/>
    </xf>
    <xf numFmtId="165" fontId="21" fillId="18" borderId="0" applyAlignment="1" pivotButton="0" quotePrefix="0" xfId="1">
      <alignment horizontal="center"/>
    </xf>
    <xf numFmtId="164" fontId="21" fillId="8" borderId="0" applyAlignment="1" pivotButton="0" quotePrefix="0" xfId="0">
      <alignment horizontal="center"/>
    </xf>
    <xf numFmtId="9" fontId="0" fillId="14" borderId="0" applyAlignment="1" pivotButton="0" quotePrefix="0" xfId="1">
      <alignment horizontal="center"/>
    </xf>
    <xf numFmtId="165" fontId="21" fillId="14" borderId="0" pivotButton="0" quotePrefix="0" xfId="1"/>
    <xf numFmtId="165" fontId="21" fillId="15" borderId="0" pivotButton="0" quotePrefix="0" xfId="1"/>
    <xf numFmtId="165" fontId="19" fillId="0" borderId="6" applyAlignment="1" pivotButton="0" quotePrefix="0" xfId="2">
      <alignment horizontal="center"/>
    </xf>
    <xf numFmtId="0" fontId="16" fillId="0" borderId="6" applyAlignment="1" applyProtection="1" pivotButton="0" quotePrefix="0" xfId="0">
      <alignment horizontal="center" shrinkToFit="1"/>
      <protection locked="0" hidden="0"/>
    </xf>
    <xf numFmtId="0" fontId="16" fillId="0" borderId="6" applyAlignment="1" applyProtection="1" pivotButton="0" quotePrefix="0" xfId="0">
      <alignment horizontal="left"/>
      <protection locked="0" hidden="0"/>
    </xf>
    <xf numFmtId="164" fontId="16" fillId="0" borderId="6" applyAlignment="1" applyProtection="1" pivotButton="0" quotePrefix="0" xfId="0">
      <alignment horizontal="center"/>
      <protection locked="0" hidden="0"/>
    </xf>
    <xf numFmtId="166" fontId="0" fillId="0" borderId="0" pivotButton="0" quotePrefix="0" xfId="0"/>
    <xf numFmtId="164" fontId="19" fillId="0" borderId="6" applyAlignment="1" applyProtection="1" pivotButton="0" quotePrefix="0" xfId="0">
      <alignment horizontal="center"/>
      <protection locked="0" hidden="0"/>
    </xf>
    <xf numFmtId="9" fontId="19" fillId="0" borderId="6" applyAlignment="1" pivotButton="0" quotePrefix="0" xfId="0">
      <alignment horizontal="center"/>
    </xf>
    <xf numFmtId="165" fontId="19" fillId="0" borderId="8" applyAlignment="1" applyProtection="1" pivotButton="0" quotePrefix="0" xfId="2">
      <alignment horizontal="center"/>
      <protection locked="1" hidden="1"/>
    </xf>
    <xf numFmtId="165" fontId="18" fillId="0" borderId="13" applyAlignment="1" pivotButton="0" quotePrefix="0" xfId="2">
      <alignment horizontal="center"/>
    </xf>
    <xf numFmtId="165" fontId="18" fillId="0" borderId="13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0" fillId="6" borderId="10" applyAlignment="1" pivotButton="0" quotePrefix="0" xfId="0">
      <alignment horizontal="center" vertical="center"/>
    </xf>
    <xf numFmtId="0" fontId="20" fillId="6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/>
    </xf>
    <xf numFmtId="0" fontId="22" fillId="21" borderId="0" applyAlignment="1" pivotButton="0" quotePrefix="0" xfId="0">
      <alignment horizontal="left" vertical="center" indent="14"/>
    </xf>
    <xf numFmtId="0" fontId="22" fillId="22" borderId="0" applyAlignment="1" pivotButton="0" quotePrefix="0" xfId="0">
      <alignment horizontal="left" vertical="center" indent="29"/>
    </xf>
    <xf numFmtId="0" fontId="22" fillId="2" borderId="0" applyAlignment="1" pivotButton="0" quotePrefix="0" xfId="0">
      <alignment horizontal="left" vertical="center" indent="30"/>
    </xf>
    <xf numFmtId="0" fontId="11" fillId="22" borderId="0" applyAlignment="1" pivotButton="0" quotePrefix="0" xfId="0">
      <alignment horizontal="center"/>
    </xf>
    <xf numFmtId="0" fontId="42" fillId="27" borderId="0" applyAlignment="1" pivotButton="0" quotePrefix="0" xfId="0">
      <alignment horizontal="center" vertical="center"/>
    </xf>
    <xf numFmtId="0" fontId="43" fillId="44" borderId="0" applyAlignment="1" pivotButton="0" quotePrefix="0" xfId="0">
      <alignment horizontal="center" vertical="center"/>
    </xf>
    <xf numFmtId="0" fontId="44" fillId="36" borderId="0" applyAlignment="1" pivotButton="0" quotePrefix="0" xfId="0">
      <alignment horizontal="center" vertical="center"/>
    </xf>
    <xf numFmtId="0" fontId="45" fillId="40" borderId="0" applyAlignment="1" pivotButton="0" quotePrefix="0" xfId="0">
      <alignment horizontal="center" vertical="center"/>
    </xf>
    <xf numFmtId="0" fontId="44" fillId="31" borderId="0" applyAlignment="1" pivotButton="0" quotePrefix="0" xfId="0">
      <alignment horizontal="center" vertical="center"/>
    </xf>
    <xf numFmtId="0" fontId="29" fillId="34" borderId="0" applyAlignment="1" pivotButton="0" quotePrefix="0" xfId="0">
      <alignment horizontal="center" vertical="center"/>
    </xf>
    <xf numFmtId="0" fontId="29" fillId="33" borderId="0" applyAlignment="1" pivotButton="0" quotePrefix="0" xfId="0">
      <alignment horizontal="center" vertical="center"/>
    </xf>
    <xf numFmtId="0" fontId="29" fillId="42" borderId="0" applyAlignment="1" pivotButton="0" quotePrefix="0" xfId="0">
      <alignment horizontal="center" vertical="center"/>
    </xf>
    <xf numFmtId="0" fontId="28" fillId="25" borderId="0" applyAlignment="1" pivotButton="0" quotePrefix="0" xfId="0">
      <alignment horizontal="left" vertical="center"/>
    </xf>
    <xf numFmtId="0" fontId="46" fillId="32" borderId="0" applyAlignment="1" pivotButton="0" quotePrefix="0" xfId="0">
      <alignment horizontal="center" vertical="center"/>
    </xf>
    <xf numFmtId="0" fontId="31" fillId="32" borderId="0" applyAlignment="1" pivotButton="0" quotePrefix="0" xfId="0">
      <alignment horizontal="left" vertical="center"/>
    </xf>
    <xf numFmtId="0" fontId="29" fillId="28" borderId="0" applyAlignment="1" pivotButton="0" quotePrefix="0" xfId="0">
      <alignment horizontal="left" vertical="center" wrapText="1"/>
    </xf>
    <xf numFmtId="0" fontId="47" fillId="26" borderId="0" applyAlignment="1" pivotButton="0" quotePrefix="0" xfId="0">
      <alignment horizontal="center" vertical="center"/>
    </xf>
    <xf numFmtId="0" fontId="48" fillId="26" borderId="0" applyAlignment="1" pivotButton="0" quotePrefix="0" xfId="0">
      <alignment horizontal="left" vertical="center"/>
    </xf>
    <xf numFmtId="0" fontId="49" fillId="33" borderId="0" applyAlignment="1" pivotButton="0" quotePrefix="0" xfId="0">
      <alignment horizontal="center" vertical="center"/>
    </xf>
    <xf numFmtId="0" fontId="33" fillId="33" borderId="0" applyAlignment="1" pivotButton="0" quotePrefix="0" xfId="0">
      <alignment horizontal="left" vertical="center"/>
    </xf>
    <xf numFmtId="0" fontId="50" fillId="39" borderId="0" applyAlignment="1" pivotButton="0" quotePrefix="0" xfId="0">
      <alignment horizontal="center" vertical="center"/>
    </xf>
    <xf numFmtId="0" fontId="51" fillId="39" borderId="0" applyAlignment="1" pivotButton="0" quotePrefix="0" xfId="0">
      <alignment horizontal="left" vertical="center"/>
    </xf>
    <xf numFmtId="0" fontId="28" fillId="27" borderId="0" applyAlignment="1" pivotButton="0" quotePrefix="0" xfId="0">
      <alignment horizontal="left" vertical="center"/>
    </xf>
    <xf numFmtId="0" fontId="52" fillId="32" borderId="21" applyAlignment="1" pivotButton="0" quotePrefix="0" xfId="0">
      <alignment horizontal="left" vertical="center"/>
    </xf>
    <xf numFmtId="0" fontId="0" fillId="0" borderId="27" pivotButton="0" quotePrefix="0" xfId="0"/>
    <xf numFmtId="0" fontId="53" fillId="26" borderId="22" applyAlignment="1" pivotButton="0" quotePrefix="0" xfId="0">
      <alignment horizontal="left" vertical="center"/>
    </xf>
    <xf numFmtId="0" fontId="0" fillId="0" borderId="30" pivotButton="0" quotePrefix="0" xfId="0"/>
    <xf numFmtId="0" fontId="35" fillId="33" borderId="19" applyAlignment="1" pivotButton="0" quotePrefix="0" xfId="0">
      <alignment horizontal="left" vertical="center"/>
    </xf>
    <xf numFmtId="0" fontId="0" fillId="0" borderId="33" pivotButton="0" quotePrefix="0" xfId="0"/>
    <xf numFmtId="0" fontId="36" fillId="35" borderId="18" applyAlignment="1" pivotButton="0" quotePrefix="0" xfId="0">
      <alignment horizontal="left" vertical="center"/>
    </xf>
    <xf numFmtId="0" fontId="0" fillId="0" borderId="36" pivotButton="0" quotePrefix="0" xfId="0"/>
    <xf numFmtId="0" fontId="39" fillId="41" borderId="37" applyAlignment="1" pivotButton="0" quotePrefix="0" xfId="0">
      <alignment horizontal="left" vertical="center"/>
    </xf>
    <xf numFmtId="0" fontId="0" fillId="0" borderId="40" pivotButton="0" quotePrefix="0" xfId="0"/>
    <xf numFmtId="0" fontId="40" fillId="43" borderId="24" applyAlignment="1" pivotButton="0" quotePrefix="0" xfId="0">
      <alignment horizontal="left" vertical="center"/>
    </xf>
    <xf numFmtId="0" fontId="0" fillId="0" borderId="43" pivotButton="0" quotePrefix="0" xfId="0"/>
    <xf numFmtId="0" fontId="54" fillId="28" borderId="17" applyAlignment="1" pivotButton="0" quotePrefix="0" xfId="0">
      <alignment horizontal="left" vertical="center"/>
    </xf>
    <xf numFmtId="0" fontId="0" fillId="0" borderId="46" pivotButton="0" quotePrefix="0" xfId="0"/>
    <xf numFmtId="0" fontId="25" fillId="36" borderId="1" applyAlignment="1" pivotButton="0" quotePrefix="0" xfId="0">
      <alignment horizontal="left" vertical="center"/>
    </xf>
    <xf numFmtId="0" fontId="26" fillId="34" borderId="0" applyAlignment="1" pivotButton="0" quotePrefix="0" xfId="0">
      <alignment horizontal="left" vertical="center"/>
    </xf>
    <xf numFmtId="0" fontId="0" fillId="36" borderId="0" pivotButton="0" quotePrefix="0" xfId="0"/>
    <xf numFmtId="0" fontId="0" fillId="36" borderId="0" applyAlignment="1" pivotButton="0" quotePrefix="0" xfId="0">
      <alignment horizontal="center"/>
    </xf>
    <xf numFmtId="0" fontId="34" fillId="27" borderId="0" applyAlignment="1" pivotButton="0" quotePrefix="0" xfId="0">
      <alignment horizontal="center" vertical="center" wrapText="1"/>
    </xf>
    <xf numFmtId="0" fontId="34" fillId="37" borderId="0" applyAlignment="1" pivotButton="0" quotePrefix="0" xfId="0">
      <alignment horizontal="center" vertical="center" wrapText="1"/>
    </xf>
    <xf numFmtId="0" fontId="34" fillId="36" borderId="0" applyAlignment="1" pivotButton="0" quotePrefix="0" xfId="0">
      <alignment horizontal="center" vertical="center" wrapText="1"/>
    </xf>
    <xf numFmtId="0" fontId="35" fillId="33" borderId="0" applyAlignment="1" pivotButton="0" quotePrefix="0" xfId="0">
      <alignment horizontal="center" vertical="center" wrapText="1"/>
    </xf>
    <xf numFmtId="0" fontId="34" fillId="38" borderId="0" applyAlignment="1" pivotButton="0" quotePrefix="0" xfId="0">
      <alignment horizontal="center" vertical="center" wrapText="1"/>
    </xf>
    <xf numFmtId="0" fontId="34" fillId="25" borderId="0" applyAlignment="1" pivotButton="0" quotePrefix="0" xfId="0">
      <alignment horizontal="center" vertical="center" wrapText="1"/>
    </xf>
    <xf numFmtId="0" fontId="34" fillId="27" borderId="15" applyAlignment="1" pivotButton="0" quotePrefix="0" xfId="0">
      <alignment horizontal="center" vertical="center" wrapText="1"/>
    </xf>
    <xf numFmtId="0" fontId="34" fillId="37" borderId="17" applyAlignment="1" pivotButton="0" quotePrefix="0" xfId="0">
      <alignment horizontal="center" vertical="center" wrapText="1"/>
    </xf>
    <xf numFmtId="0" fontId="34" fillId="36" borderId="18" applyAlignment="1" pivotButton="0" quotePrefix="0" xfId="0">
      <alignment horizontal="center" vertical="center" wrapText="1"/>
    </xf>
    <xf numFmtId="0" fontId="34" fillId="30" borderId="19" applyAlignment="1" pivotButton="0" quotePrefix="0" xfId="0">
      <alignment horizontal="center" vertical="center" wrapText="1"/>
    </xf>
    <xf numFmtId="0" fontId="34" fillId="33" borderId="20" applyAlignment="1" pivotButton="0" quotePrefix="0" xfId="0">
      <alignment horizontal="center" vertical="center" wrapText="1"/>
    </xf>
    <xf numFmtId="0" fontId="34" fillId="38" borderId="21" applyAlignment="1" pivotButton="0" quotePrefix="0" xfId="0">
      <alignment horizontal="center" vertical="center" wrapText="1"/>
    </xf>
    <xf numFmtId="0" fontId="34" fillId="25" borderId="22" applyAlignment="1" pivotButton="0" quotePrefix="0" xfId="0">
      <alignment horizontal="center" vertical="center" wrapText="1"/>
    </xf>
    <xf numFmtId="9" fontId="34" fillId="25" borderId="22" applyAlignment="1" pivotButton="0" quotePrefix="0" xfId="0">
      <alignment horizontal="center" vertical="center" wrapText="1"/>
    </xf>
    <xf numFmtId="9" fontId="34" fillId="25" borderId="22" applyAlignment="1" pivotButton="0" quotePrefix="1" xfId="0">
      <alignment horizontal="center" vertical="center" wrapText="1"/>
    </xf>
    <xf numFmtId="165" fontId="29" fillId="28" borderId="16" applyAlignment="1" pivotButton="0" quotePrefix="0" xfId="2">
      <alignment horizontal="center" vertical="center"/>
    </xf>
    <xf numFmtId="0" fontId="29" fillId="28" borderId="16" applyAlignment="1" pivotButton="0" quotePrefix="0" xfId="0">
      <alignment horizontal="center" vertical="center"/>
    </xf>
    <xf numFmtId="0" fontId="29" fillId="28" borderId="16" applyAlignment="1" applyProtection="1" pivotButton="0" quotePrefix="0" xfId="0">
      <alignment horizontal="center" vertical="center"/>
      <protection locked="0" hidden="0"/>
    </xf>
    <xf numFmtId="164" fontId="29" fillId="39" borderId="16" applyAlignment="1" applyProtection="1" pivotButton="0" quotePrefix="0" xfId="0">
      <alignment horizontal="center" vertical="center"/>
      <protection locked="0" hidden="0"/>
    </xf>
    <xf numFmtId="168" fontId="29" fillId="35" borderId="16" applyAlignment="1" applyProtection="1" pivotButton="0" quotePrefix="0" xfId="1">
      <alignment horizontal="center" vertical="center"/>
      <protection locked="0" hidden="0"/>
    </xf>
    <xf numFmtId="168" fontId="29" fillId="35" borderId="16" applyAlignment="1" pivotButton="0" quotePrefix="0" xfId="1">
      <alignment horizontal="center" vertical="center"/>
    </xf>
    <xf numFmtId="9" fontId="33" fillId="33" borderId="16" applyAlignment="1" pivotButton="0" quotePrefix="0" xfId="0">
      <alignment horizontal="center" vertical="center"/>
    </xf>
    <xf numFmtId="168" fontId="37" fillId="35" borderId="16" applyAlignment="1" pivotButton="0" quotePrefix="0" xfId="0">
      <alignment horizontal="center" vertical="center"/>
    </xf>
    <xf numFmtId="9" fontId="29" fillId="39" borderId="16" applyAlignment="1" pivotButton="0" quotePrefix="0" xfId="0">
      <alignment horizontal="center" vertical="center"/>
    </xf>
    <xf numFmtId="9" fontId="29" fillId="39" borderId="16" applyAlignment="1" applyProtection="1" pivotButton="0" quotePrefix="0" xfId="2">
      <alignment horizontal="center" vertical="center"/>
      <protection locked="0" hidden="0"/>
    </xf>
    <xf numFmtId="168" fontId="29" fillId="33" borderId="16" applyAlignment="1" pivotButton="0" quotePrefix="0" xfId="1">
      <alignment horizontal="center" vertical="center"/>
    </xf>
    <xf numFmtId="9" fontId="29" fillId="33" borderId="16" applyAlignment="1" pivotButton="0" quotePrefix="0" xfId="2">
      <alignment horizontal="center" vertical="center"/>
    </xf>
    <xf numFmtId="165" fontId="29" fillId="39" borderId="16" applyAlignment="1" pivotButton="0" quotePrefix="0" xfId="1">
      <alignment horizontal="center" vertical="center"/>
    </xf>
    <xf numFmtId="166" fontId="29" fillId="32" borderId="16" applyAlignment="1" pivotButton="0" quotePrefix="0" xfId="2">
      <alignment horizontal="center" vertical="center"/>
    </xf>
    <xf numFmtId="166" fontId="29" fillId="32" borderId="16" applyAlignment="1" pivotButton="0" quotePrefix="0" xfId="1">
      <alignment horizontal="center" vertical="center"/>
    </xf>
    <xf numFmtId="168" fontId="29" fillId="26" borderId="16" applyAlignment="1" pivotButton="0" quotePrefix="0" xfId="1">
      <alignment horizontal="center" vertical="center"/>
    </xf>
    <xf numFmtId="168" fontId="29" fillId="26" borderId="16" applyAlignment="1" pivotButton="0" quotePrefix="0" xfId="2">
      <alignment horizontal="center" vertical="center"/>
    </xf>
    <xf numFmtId="0" fontId="29" fillId="28" borderId="16" applyAlignment="1" pivotButton="0" quotePrefix="0" xfId="2">
      <alignment horizontal="center" vertical="center"/>
    </xf>
    <xf numFmtId="0" fontId="38" fillId="40" borderId="10" applyAlignment="1" pivotButton="0" quotePrefix="0" xfId="0">
      <alignment horizontal="left" vertical="center"/>
    </xf>
    <xf numFmtId="0" fontId="26" fillId="33" borderId="0" applyAlignment="1" pivotButton="0" quotePrefix="0" xfId="0">
      <alignment horizontal="left" vertical="center"/>
    </xf>
    <xf numFmtId="0" fontId="16" fillId="40" borderId="0" pivotButton="0" quotePrefix="0" xfId="0"/>
    <xf numFmtId="0" fontId="16" fillId="40" borderId="0" applyAlignment="1" pivotButton="0" quotePrefix="0" xfId="0">
      <alignment horizontal="left"/>
    </xf>
    <xf numFmtId="0" fontId="39" fillId="40" borderId="0" applyAlignment="1" pivotButton="0" quotePrefix="0" xfId="0">
      <alignment horizontal="center" vertical="center" wrapText="1"/>
    </xf>
    <xf numFmtId="0" fontId="34" fillId="40" borderId="23" applyAlignment="1" pivotButton="0" quotePrefix="0" xfId="0">
      <alignment horizontal="center" vertical="center" wrapText="1"/>
    </xf>
    <xf numFmtId="0" fontId="39" fillId="30" borderId="16" applyAlignment="1" pivotButton="0" quotePrefix="0" xfId="0">
      <alignment horizontal="center" vertical="center" wrapText="1"/>
    </xf>
    <xf numFmtId="165" fontId="34" fillId="33" borderId="20" applyAlignment="1" pivotButton="0" quotePrefix="0" xfId="1">
      <alignment horizontal="center" vertical="center" wrapText="1"/>
    </xf>
    <xf numFmtId="0" fontId="39" fillId="30" borderId="19" applyAlignment="1" pivotButton="0" quotePrefix="0" xfId="0">
      <alignment horizontal="center" vertical="center" wrapText="1"/>
    </xf>
    <xf numFmtId="0" fontId="34" fillId="37" borderId="17" applyAlignment="1" applyProtection="1" pivotButton="0" quotePrefix="0" xfId="0">
      <alignment horizontal="center" vertical="center" wrapText="1"/>
      <protection locked="1" hidden="1"/>
    </xf>
    <xf numFmtId="168" fontId="29" fillId="41" borderId="16" applyAlignment="1" applyProtection="1" pivotButton="0" quotePrefix="0" xfId="1">
      <alignment horizontal="center" vertical="center"/>
      <protection locked="0" hidden="0"/>
    </xf>
    <xf numFmtId="168" fontId="29" fillId="41" borderId="16" applyAlignment="1" applyProtection="1" pivotButton="0" quotePrefix="0" xfId="0">
      <alignment horizontal="center" vertical="center"/>
      <protection locked="0" hidden="0"/>
    </xf>
    <xf numFmtId="9" fontId="33" fillId="33" borderId="16" applyAlignment="1" applyProtection="1" pivotButton="0" quotePrefix="0" xfId="2">
      <alignment horizontal="center" vertical="center"/>
      <protection locked="0" hidden="0"/>
    </xf>
    <xf numFmtId="168" fontId="29" fillId="41" borderId="16" applyAlignment="1" pivotButton="0" quotePrefix="0" xfId="1">
      <alignment horizontal="center" vertical="center"/>
    </xf>
    <xf numFmtId="9" fontId="29" fillId="39" borderId="16" applyAlignment="1" pivotButton="0" quotePrefix="0" xfId="1">
      <alignment horizontal="center" vertical="center"/>
    </xf>
    <xf numFmtId="9" fontId="29" fillId="33" borderId="16" applyAlignment="1" pivotButton="0" quotePrefix="0" xfId="0">
      <alignment horizontal="center" vertical="center"/>
    </xf>
    <xf numFmtId="9" fontId="29" fillId="33" borderId="16" applyAlignment="1" applyProtection="1" pivotButton="0" quotePrefix="0" xfId="2">
      <alignment horizontal="center" vertical="center"/>
      <protection locked="0" hidden="0"/>
    </xf>
    <xf numFmtId="165" fontId="29" fillId="39" borderId="16" applyAlignment="1" applyProtection="1" pivotButton="0" quotePrefix="0" xfId="1">
      <alignment horizontal="center" vertical="center"/>
      <protection locked="0" hidden="0"/>
    </xf>
    <xf numFmtId="165" fontId="29" fillId="39" borderId="16" applyAlignment="1" pivotButton="0" quotePrefix="0" xfId="2">
      <alignment horizontal="center" vertical="center"/>
    </xf>
    <xf numFmtId="168" fontId="29" fillId="32" borderId="16" applyAlignment="1" pivotButton="0" quotePrefix="0" xfId="1">
      <alignment horizontal="center" vertical="center"/>
    </xf>
    <xf numFmtId="165" fontId="19" fillId="0" borderId="8" applyAlignment="1" applyProtection="1" pivotButton="0" quotePrefix="0" xfId="2">
      <alignment horizontal="center"/>
      <protection locked="1" hidden="1"/>
    </xf>
    <xf numFmtId="165" fontId="18" fillId="0" borderId="13" applyAlignment="1" pivotButton="0" quotePrefix="0" xfId="2">
      <alignment horizontal="center"/>
    </xf>
    <xf numFmtId="165" fontId="18" fillId="0" borderId="13" applyAlignment="1" pivotButton="0" quotePrefix="0" xfId="0">
      <alignment horizontal="center"/>
    </xf>
    <xf numFmtId="0" fontId="25" fillId="31" borderId="0" applyAlignment="1" pivotButton="0" quotePrefix="0" xfId="0">
      <alignment horizontal="left" vertical="center"/>
    </xf>
    <xf numFmtId="0" fontId="26" fillId="42" borderId="0" applyAlignment="1" pivotButton="0" quotePrefix="0" xfId="0">
      <alignment horizontal="left" vertical="center"/>
    </xf>
    <xf numFmtId="0" fontId="0" fillId="31" borderId="0" pivotButton="0" quotePrefix="0" xfId="0"/>
    <xf numFmtId="0" fontId="34" fillId="31" borderId="0" applyAlignment="1" pivotButton="0" quotePrefix="0" xfId="0">
      <alignment horizontal="center" vertical="center" wrapText="1"/>
    </xf>
    <xf numFmtId="0" fontId="34" fillId="31" borderId="24" applyAlignment="1" pivotButton="0" quotePrefix="0" xfId="0">
      <alignment horizontal="center" vertical="center" wrapText="1"/>
    </xf>
    <xf numFmtId="9" fontId="34" fillId="27" borderId="15" applyAlignment="1" pivotButton="0" quotePrefix="0" xfId="2">
      <alignment horizontal="center" vertical="center" wrapText="1"/>
    </xf>
    <xf numFmtId="165" fontId="29" fillId="28" borderId="16" applyAlignment="1" applyProtection="1" pivotButton="0" quotePrefix="0" xfId="2">
      <alignment horizontal="center" vertical="center"/>
      <protection locked="0" hidden="0"/>
    </xf>
    <xf numFmtId="164" fontId="29" fillId="39" borderId="16" applyAlignment="1" pivotButton="0" quotePrefix="0" xfId="0">
      <alignment horizontal="center" vertical="center"/>
    </xf>
    <xf numFmtId="168" fontId="29" fillId="43" borderId="16" applyAlignment="1" pivotButton="0" quotePrefix="0" xfId="1">
      <alignment horizontal="center" vertical="center"/>
    </xf>
    <xf numFmtId="168" fontId="41" fillId="43" borderId="16" applyAlignment="1" pivotButton="0" quotePrefix="0" xfId="0">
      <alignment horizontal="center" vertical="center"/>
    </xf>
    <xf numFmtId="9" fontId="29" fillId="39" borderId="16" applyAlignment="1" pivotButton="0" quotePrefix="0" xfId="2">
      <alignment horizontal="center" vertical="center"/>
    </xf>
    <xf numFmtId="165" fontId="29" fillId="32" borderId="16" applyAlignment="1" pivotButton="0" quotePrefix="0" xfId="1">
      <alignment horizontal="center" vertical="center"/>
    </xf>
    <xf numFmtId="168" fontId="29" fillId="26" borderId="16" applyAlignment="1" pivotButton="0" quotePrefix="0" xfId="0">
      <alignment horizontal="center" vertical="center"/>
    </xf>
    <xf numFmtId="0" fontId="25" fillId="25" borderId="0" applyAlignment="1" pivotButton="0" quotePrefix="0" xfId="0">
      <alignment horizontal="left" vertical="center"/>
    </xf>
    <xf numFmtId="0" fontId="26" fillId="26" borderId="0" applyAlignment="1" pivotButton="0" quotePrefix="0" xfId="0">
      <alignment horizontal="left" vertical="center"/>
    </xf>
    <xf numFmtId="0" fontId="0" fillId="25" borderId="0" pivotButton="0" quotePrefix="0" xfId="0"/>
    <xf numFmtId="0" fontId="27" fillId="27" borderId="0" applyAlignment="1" pivotButton="0" quotePrefix="0" xfId="0">
      <alignment horizontal="left" vertical="center" indent="14"/>
    </xf>
    <xf numFmtId="0" fontId="28" fillId="27" borderId="15" applyAlignment="1" pivotButton="0" quotePrefix="0" xfId="0">
      <alignment horizontal="center" vertical="center"/>
    </xf>
    <xf numFmtId="0" fontId="29" fillId="28" borderId="16" applyAlignment="1" pivotButton="0" quotePrefix="0" xfId="0">
      <alignment horizontal="left" vertical="center"/>
    </xf>
    <xf numFmtId="0" fontId="29" fillId="29" borderId="16" applyAlignment="1" pivotButton="0" quotePrefix="0" xfId="0">
      <alignment horizontal="left" vertical="center"/>
    </xf>
    <xf numFmtId="0" fontId="28" fillId="27" borderId="0" applyAlignment="1" pivotButton="0" quotePrefix="0" xfId="0">
      <alignment horizontal="center" vertical="center"/>
    </xf>
    <xf numFmtId="0" fontId="28" fillId="30" borderId="16" applyAlignment="1" pivotButton="0" quotePrefix="0" xfId="0">
      <alignment horizontal="center" vertical="center"/>
    </xf>
    <xf numFmtId="0" fontId="28" fillId="31" borderId="16" applyAlignment="1" pivotButton="0" quotePrefix="0" xfId="0">
      <alignment horizontal="center" vertical="center"/>
    </xf>
    <xf numFmtId="9" fontId="29" fillId="28" borderId="16" applyAlignment="1" pivotButton="0" quotePrefix="0" xfId="0">
      <alignment horizontal="center" vertical="center"/>
    </xf>
    <xf numFmtId="0" fontId="30" fillId="32" borderId="16" applyAlignment="1" pivotButton="0" quotePrefix="0" xfId="0">
      <alignment horizontal="left" vertical="center"/>
    </xf>
    <xf numFmtId="9" fontId="31" fillId="32" borderId="16" applyAlignment="1" pivotButton="0" quotePrefix="0" xfId="0">
      <alignment horizontal="center" vertical="center"/>
    </xf>
    <xf numFmtId="9" fontId="29" fillId="29" borderId="16" applyAlignment="1" pivotButton="0" quotePrefix="0" xfId="0">
      <alignment horizontal="center" vertical="center"/>
    </xf>
    <xf numFmtId="0" fontId="32" fillId="33" borderId="16" applyAlignment="1" pivotButton="0" quotePrefix="0" xfId="0">
      <alignment horizontal="left" vertical="center"/>
    </xf>
    <xf numFmtId="168" fontId="33" fillId="33" borderId="16" applyAlignment="1" pivotButton="0" quotePrefix="0" xfId="0">
      <alignment horizontal="center" vertical="center"/>
    </xf>
    <xf numFmtId="0" fontId="34" fillId="27" borderId="0" applyAlignment="1" pivotButton="0" quotePrefix="0" xfId="0">
      <alignment horizontal="right" vertical="center" wrapText="1"/>
    </xf>
    <xf numFmtId="166" fontId="26" fillId="29" borderId="16" applyAlignment="1" pivotButton="0" quotePrefix="0" xfId="0">
      <alignment horizontal="center" vertical="center"/>
    </xf>
    <xf numFmtId="0" fontId="26" fillId="28" borderId="16" applyAlignment="1" pivotButton="0" quotePrefix="0" xfId="0">
      <alignment horizontal="center" vertical="center"/>
    </xf>
    <xf numFmtId="167" fontId="26" fillId="28" borderId="16" applyAlignment="1" pivotButton="0" quotePrefix="0" xfId="0">
      <alignment horizontal="center" vertical="center"/>
    </xf>
    <xf numFmtId="166" fontId="26" fillId="28" borderId="16" applyAlignment="1" pivotButton="0" quotePrefix="0" xfId="0">
      <alignment horizontal="center" vertical="center"/>
    </xf>
    <xf numFmtId="0" fontId="26" fillId="29" borderId="16" applyAlignment="1" pivotButton="0" quotePrefix="0" xfId="0">
      <alignment horizontal="center" vertical="center"/>
    </xf>
    <xf numFmtId="167" fontId="26" fillId="29" borderId="16" applyAlignment="1" pivotButton="0" quotePrefix="0" xfId="0">
      <alignment horizontal="center" vertical="center"/>
    </xf>
    <xf numFmtId="9" fontId="26" fillId="29" borderId="16" applyAlignment="1" pivotButton="0" quotePrefix="0" xfId="0">
      <alignment horizontal="center" vertical="center"/>
    </xf>
    <xf numFmtId="9" fontId="26" fillId="28" borderId="16" applyAlignment="1" pivotButton="0" quotePrefix="0" xfId="0">
      <alignment horizontal="center" vertical="center"/>
    </xf>
  </cellXfs>
  <cellStyles count="4">
    <cellStyle name="Normal" xfId="0" builtinId="0"/>
    <cellStyle name="Moeda" xfId="1" builtinId="4"/>
    <cellStyle name="Porcentagem" xfId="2" builtinId="5"/>
    <cellStyle name="Hiperlink" xfId="3" builtinId="8"/>
  </cellStyles>
  <dxfs count="195">
    <dxf>
      <fill>
        <patternFill>
          <bgColor rgb="FFFF0000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399945066682943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9" tint="-0.249946592608417"/>
        </patternFill>
      </fill>
    </dxf>
    <dxf>
      <fill>
        <patternFill>
          <bgColor rgb="FF339933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5999633777886288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1"/>
        <i val="1"/>
        <color theme="1"/>
        <u val="double"/>
      </font>
      <fill>
        <patternFill>
          <bgColor rgb="FFFF0000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5999633777886288"/>
        </patternFill>
      </fill>
    </dxf>
    <dxf>
      <fill>
        <patternFill>
          <bgColor theme="0"/>
        </patternFill>
      </fill>
    </dxf>
    <dxf>
      <fill>
        <patternFill>
          <bgColor theme="0" tint="-0.0499893185216834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ont>
        <color theme="1" tint="0.499984740745262"/>
      </font>
      <fill>
        <patternFill>
          <bgColor rgb="FFFFFF00"/>
        </patternFill>
      </fill>
    </dxf>
    <dxf>
      <alignment horizontal="center" vertical="center" wrapText="1"/>
    </dxf>
    <dxf>
      <numFmt numFmtId="13" formatCode="0%"/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numFmt numFmtId="164" formatCode="0.0%"/>
    </dxf>
    <dxf>
      <numFmt numFmtId="164" formatCode="0.0%"/>
    </dxf>
    <dxf>
      <numFmt numFmtId="12" formatCode="&quot;R$&quot;\ #,##0.00;[Red]\-&quot;R$&quot;\ #,##0.00"/>
      <alignment horizontal="right" vertical="center" wrapText="1"/>
    </dxf>
    <dxf>
      <numFmt numFmtId="12" formatCode="&quot;R$&quot;\ #,##0.00;[Red]\-&quot;R$&quot;\ #,##0.00"/>
      <alignment horizontal="right" vertical="center" wrapText="1"/>
    </dxf>
    <dxf>
      <numFmt numFmtId="12" formatCode="&quot;R$&quot;\ #,##0.00;[Red]\-&quot;R$&quot;\ #,##0.00"/>
      <alignment horizontal="right" vertical="center" wrapText="1"/>
    </dxf>
    <dxf>
      <numFmt numFmtId="12" formatCode="&quot;R$&quot;\ #,##0.00;[Red]\-&quot;R$&quot;\ #,##0.00"/>
      <alignment horizontal="right" vertical="center" wrapText="1"/>
    </dxf>
    <dxf>
      <numFmt numFmtId="12" formatCode="&quot;R$&quot;\ #,##0.00;[Red]\-&quot;R$&quot;\ #,##0.00"/>
      <alignment horizontal="right" vertical="center" wrapText="1"/>
    </dxf>
    <dxf>
      <numFmt numFmtId="12" formatCode="&quot;R$&quot;\ #,##0.00;[Red]\-&quot;R$&quot;\ #,##0.00"/>
      <alignment horizontal="right" vertical="center" wrapText="1"/>
    </dxf>
    <dxf>
      <numFmt numFmtId="12" formatCode="&quot;R$&quot;\ #,##0.00;[Red]\-&quot;R$&quot;\ #,##0.00"/>
      <alignment horizontal="right" vertical="center" wrapText="1"/>
    </dxf>
    <dxf>
      <numFmt numFmtId="12" formatCode="&quot;R$&quot;\ #,##0.00;[Red]\-&quot;R$&quot;\ #,##0.00"/>
      <alignment horizontal="right" vertical="center" wrapText="1"/>
    </dxf>
    <dxf>
      <alignment horizontal="center" vertical="center"/>
    </dxf>
    <dxf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Roboto"/>
        <strike val="0"/>
        <outline val="0"/>
        <shadow val="0"/>
        <condense val="0"/>
        <color rgb="FF434343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medium">
          <color rgb="FF284E3F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alignment horizontal="center" vertical="center"/>
    </dxf>
    <dxf>
      <font>
        <name val="Calibri"/>
        <family val="2"/>
        <strike val="0"/>
        <outline val="0"/>
        <shadow val="0"/>
        <color theme="1" tint="0.3499862666707358"/>
        <sz val="11"/>
        <vertAlign val="baseline"/>
        <scheme val="minor"/>
      </font>
      <numFmt numFmtId="34" formatCode="_-&quot;R$&quot;\ * #,##0.00_-;\-&quot;R$&quot;\ * #,##0.00_-;_-&quot;R$&quot;\ * &quot;-&quot;??_-;_-@_-"/>
      <alignment horizontal="center" vertical="bottom"/>
    </dxf>
    <dxf>
      <font>
        <name val="Calibri"/>
        <family val="2"/>
        <strike val="0"/>
        <outline val="0"/>
        <shadow val="0"/>
        <color theme="1" tint="0.3499862666707358"/>
        <sz val="11"/>
        <vertAlign val="baseline"/>
        <scheme val="minor"/>
      </font>
      <numFmt numFmtId="34" formatCode="_-&quot;R$&quot;\ * #,##0.00_-;\-&quot;R$&quot;\ * #,##0.00_-;_-&quot;R$&quot;\ * &quot;-&quot;??_-;_-@_-"/>
      <alignment horizontal="center" vertical="bottom"/>
    </dxf>
    <dxf>
      <font>
        <name val="Calibri"/>
        <family val="2"/>
        <strike val="0"/>
        <outline val="0"/>
        <shadow val="0"/>
        <color theme="1" tint="0.3499862666707358"/>
        <sz val="11"/>
        <vertAlign val="baseline"/>
        <scheme val="minor"/>
      </font>
      <numFmt numFmtId="34" formatCode="_-&quot;R$&quot;\ * #,##0.00_-;\-&quot;R$&quot;\ * #,##0.00_-;_-&quot;R$&quot;\ * &quot;-&quot;??_-;_-@_-"/>
      <alignment horizontal="center" vertical="bottom"/>
    </dxf>
    <dxf>
      <font>
        <name val="Calibri"/>
        <family val="2"/>
        <strike val="0"/>
        <outline val="0"/>
        <shadow val="0"/>
        <color theme="1" tint="0.3499862666707358"/>
        <sz val="11"/>
        <vertAlign val="baseline"/>
        <scheme val="minor"/>
      </font>
      <numFmt numFmtId="34" formatCode="_-&quot;R$&quot;\ * #,##0.00_-;\-&quot;R$&quot;\ * #,##0.00_-;_-&quot;R$&quot;\ * &quot;-&quot;??_-;_-@_-"/>
      <alignment horizontal="center" vertical="bottom"/>
    </dxf>
    <dxf>
      <font>
        <name val="Calibri"/>
        <family val="2"/>
        <strike val="0"/>
        <outline val="0"/>
        <shadow val="0"/>
        <color theme="1" tint="0.3499862666707358"/>
        <sz val="11"/>
        <vertAlign val="baseline"/>
        <scheme val="minor"/>
      </font>
      <numFmt numFmtId="34" formatCode="_-&quot;R$&quot;\ * #,##0.00_-;\-&quot;R$&quot;\ * #,##0.00_-;_-&quot;R$&quot;\ * &quot;-&quot;??_-;_-@_-"/>
      <alignment horizontal="center" vertical="bottom"/>
    </dxf>
    <dxf>
      <font>
        <name val="Calibri"/>
        <family val="2"/>
        <strike val="0"/>
        <outline val="0"/>
        <shadow val="0"/>
        <color theme="1" tint="0.3499862666707358"/>
        <sz val="11"/>
        <vertAlign val="baseline"/>
        <scheme val="minor"/>
      </font>
      <numFmt numFmtId="165" formatCode="_-[$R$-416]\ * #,##0.00_-;\-[$R$-416]\ * #,##0.00_-;_-[$R$-416]\ * &quot;-&quot;??_-;_-@_-"/>
      <alignment horizontal="center" vertical="bottom"/>
    </dxf>
    <dxf>
      <font>
        <name val="Calibri"/>
        <family val="2"/>
        <strike val="0"/>
        <outline val="0"/>
        <shadow val="0"/>
        <color theme="1" tint="0.3499862666707358"/>
        <sz val="11"/>
        <vertAlign val="baseline"/>
        <scheme val="minor"/>
      </font>
    </dxf>
    <dxf>
      <numFmt numFmtId="164" formatCode="0.0%"/>
      <alignment horizontal="center" vertical="bottom"/>
    </dxf>
    <dxf>
      <font>
        <name val="Calibri"/>
        <family val="2"/>
        <strike val="0"/>
        <outline val="0"/>
        <shadow val="0"/>
        <color theme="1" tint="0.3499862666707358"/>
        <sz val="11"/>
        <vertAlign val="baseline"/>
        <scheme val="minor"/>
      </font>
      <numFmt numFmtId="34" formatCode="_-&quot;R$&quot;\ * #,##0.00_-;\-&quot;R$&quot;\ * #,##0.00_-;_-&quot;R$&quot;\ * &quot;-&quot;??_-;_-@_-"/>
      <alignment horizontal="center" vertical="bottom"/>
    </dxf>
    <dxf>
      <font>
        <name val="Calibri"/>
        <family val="2"/>
        <strike val="0"/>
        <outline val="0"/>
        <shadow val="0"/>
        <color theme="1" tint="0.3499862666707358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 shrinkToFit="1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 tint="0.3499862666707358"/>
        <extend val="0"/>
        <sz val="11"/>
        <vertAlign val="baseline"/>
        <scheme val="minor"/>
      </font>
      <alignment horizontal="center" vertical="bottom"/>
    </dxf>
    <dxf>
      <alignment horizontal="center" vertical="bottom"/>
    </dxf>
    <dxf>
      <numFmt numFmtId="165" formatCode="_-[$R$-416]\ * #,##0.00_-;\-[$R$-416]\ * #,##0.00_-;_-[$R$-416]\ * &quot;-&quot;??_-;_-@_-"/>
      <alignment horizontal="center" vertical="bottom"/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  <alignment horizontal="center" vertical="bottom"/>
    </dxf>
    <dxf>
      <alignment horizontal="center" vertical="bottom" shrinkToFit="1"/>
    </dxf>
    <dxf>
      <font>
        <name val="Calibri"/>
        <family val="2"/>
        <strike val="0"/>
        <outline val="0"/>
        <shadow val="0"/>
        <color theme="1" tint="0.3499862666707358"/>
        <sz val="11"/>
        <vertAlign val="baseline"/>
        <scheme val="minor"/>
      </font>
      <numFmt numFmtId="34" formatCode="_-&quot;R$&quot;\ * #,##0.00_-;\-&quot;R$&quot;\ * #,##0.00_-;_-&quot;R$&quot;\ * &quot;-&quot;??_-;_-@_-"/>
      <alignment horizontal="center" vertical="bottom"/>
      <protection locked="0" hidden="0"/>
    </dxf>
    <dxf>
      <font>
        <name val="Calibri"/>
        <family val="2"/>
        <strike val="0"/>
        <outline val="0"/>
        <shadow val="0"/>
        <color theme="1" tint="0.3499862666707358"/>
        <sz val="11"/>
        <vertAlign val="baseline"/>
        <scheme val="minor"/>
      </font>
      <numFmt numFmtId="34" formatCode="_-&quot;R$&quot;\ * #,##0.00_-;\-&quot;R$&quot;\ * #,##0.00_-;_-&quot;R$&quot;\ * &quot;-&quot;??_-;_-@_-"/>
      <alignment horizontal="center" vertical="bottom"/>
      <protection locked="0" hidden="0"/>
    </dxf>
    <dxf>
      <alignment horizontal="center" vertical="bottom"/>
    </dxf>
    <dxf>
      <alignment horizontal="center" vertical="center" wrapText="1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</border>
      <protection locked="1" hidden="1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1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1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1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1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1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</border>
      <protection locked="1" hidden="1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theme="2" tint="-0.499984740745262"/>
        <extend val="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theme="2" tint="-0.499984740745262"/>
        <extend val="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lor theme="2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family val="2"/>
        <strike val="0"/>
        <outline val="0"/>
        <shadow val="0"/>
        <color theme="2" tint="-0.499984740745262"/>
        <sz val="11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0"/>
        <vertAlign val="baseline"/>
        <scheme val="minor"/>
      </font>
      <numFmt numFmtId="164" formatCode="0.0%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family val="2"/>
        <strike val="0"/>
        <outline val="0"/>
        <shadow val="0"/>
        <color theme="0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lor theme="1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13" formatCode="0%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bottom" shrinkToFi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lor theme="1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2" tint="-0.499984740745262"/>
        <extend val="0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165" formatCode="_-[$R$-416]\ * #,##0.00_-;\-[$R$-416]\ * #,##0.00_-;_-[$R$-416]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0"/>
        <vertAlign val="baseline"/>
        <scheme val="minor"/>
      </font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lor theme="1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bottom" shrinkToFi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family val="2"/>
        <strike val="0"/>
        <outline val="0"/>
        <shadow val="0"/>
        <color theme="2" tint="-0.499984740745262"/>
        <sz val="10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rgb="FF00000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protection locked="1" hidden="0"/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0"/>
        <vertAlign val="baseline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2" tint="-0.499984740745262"/>
        <sz val="11"/>
        <vertAlign val="baseline"/>
        <scheme val="minor"/>
      </font>
      <numFmt numFmtId="34" formatCode="_-&quot;R$&quot;\ * #,##0.00_-;\-&quot;R$&quot;\ * #,##0.00_-;_-&quot;R$&quot;\ * &quot;-&quot;??_-;_-@_-"/>
      <alignment horizontal="center" vertical="bottom"/>
      <protection locked="1" hidden="0"/>
    </dxf>
    <dxf>
      <font>
        <name val="Calibri"/>
        <family val="2"/>
        <strike val="0"/>
        <outline val="0"/>
        <shadow val="0"/>
        <color theme="2" tint="-0.499984740745262"/>
        <sz val="11"/>
        <vertAlign val="baseline"/>
        <scheme val="minor"/>
      </font>
      <numFmt numFmtId="34" formatCode="_-&quot;R$&quot;\ * #,##0.00_-;\-&quot;R$&quot;\ * #,##0.00_-;_-&quot;R$&quot;\ * &quot;-&quot;??_-;_-@_-"/>
      <alignment horizontal="center" vertical="bottom"/>
      <protection locked="1" hidden="0"/>
    </dxf>
    <dxf>
      <font>
        <name val="Calibri"/>
        <family val="2"/>
        <strike val="0"/>
        <outline val="0"/>
        <shadow val="0"/>
        <color theme="1" tint="0.499984740745262"/>
        <sz val="11"/>
        <vertAlign val="baseline"/>
        <scheme val="minor"/>
      </font>
      <numFmt numFmtId="34" formatCode="_-&quot;R$&quot;\ * #,##0.00_-;\-&quot;R$&quot;\ * #,##0.00_-;_-&quot;R$&quot;\ * &quot;-&quot;??_-;_-@_-"/>
    </dxf>
    <dxf>
      <font>
        <name val="Calibri"/>
        <family val="2"/>
        <strike val="0"/>
        <outline val="0"/>
        <shadow val="0"/>
        <color theme="2" tint="-0.499984740745262"/>
        <sz val="11"/>
        <vertAlign val="baseline"/>
        <scheme val="minor"/>
      </font>
      <numFmt numFmtId="34" formatCode="_-&quot;R$&quot;\ * #,##0.00_-;\-&quot;R$&quot;\ * #,##0.00_-;_-&quot;R$&quot;\ * &quot;-&quot;??_-;_-@_-"/>
      <alignment horizontal="center" vertical="bottom"/>
      <protection locked="1" hidden="0"/>
    </dxf>
    <dxf>
      <font>
        <name val="Calibri"/>
        <family val="2"/>
        <strike val="0"/>
        <outline val="0"/>
        <shadow val="0"/>
        <color theme="2" tint="-0.499984740745262"/>
        <sz val="11"/>
        <vertAlign val="baseline"/>
        <scheme val="minor"/>
      </font>
      <numFmt numFmtId="34" formatCode="_-&quot;R$&quot;\ * #,##0.00_-;\-&quot;R$&quot;\ * #,##0.00_-;_-&quot;R$&quot;\ * &quot;-&quot;??_-;_-@_-"/>
      <alignment horizontal="center" vertical="bottom"/>
      <protection locked="1" hidden="0"/>
    </dxf>
    <dxf>
      <font>
        <name val="Calibri"/>
        <family val="2"/>
        <strike val="0"/>
        <outline val="0"/>
        <shadow val="0"/>
        <condense val="0"/>
        <color theme="2" tint="-0.499984740745262"/>
        <extend val="0"/>
        <sz val="11"/>
        <vertAlign val="baseline"/>
        <scheme val="minor"/>
      </font>
      <numFmt numFmtId="34" formatCode="_-&quot;R$&quot;\ * #,##0.00_-;\-&quot;R$&quot;\ * #,##0.00_-;_-&quot;R$&quot;\ * &quot;-&quot;??_-;_-@_-"/>
      <alignment horizontal="center" vertical="bottom"/>
      <protection locked="1" hidden="0"/>
    </dxf>
    <dxf>
      <font>
        <name val="Calibri"/>
        <family val="2"/>
        <strike val="0"/>
        <outline val="0"/>
        <shadow val="0"/>
        <color theme="2" tint="-0.499984740745262"/>
        <sz val="11"/>
        <vertAlign val="baseline"/>
        <scheme val="minor"/>
      </font>
      <numFmt numFmtId="34" formatCode="_-&quot;R$&quot;\ * #,##0.00_-;\-&quot;R$&quot;\ * #,##0.00_-;_-&quot;R$&quot;\ * &quot;-&quot;??_-;_-@_-"/>
    </dxf>
    <dxf>
      <numFmt numFmtId="164" formatCode="0.0%"/>
      <alignment horizontal="center" vertical="bottom"/>
      <protection locked="1" hidden="0"/>
    </dxf>
    <dxf>
      <font>
        <name val="Calibri"/>
        <family val="2"/>
        <strike val="0"/>
        <outline val="0"/>
        <shadow val="0"/>
        <condense val="0"/>
        <color theme="2" tint="-0.499984740745262"/>
        <extend val="0"/>
        <sz val="11"/>
        <vertAlign val="baseline"/>
        <scheme val="minor"/>
      </font>
      <numFmt numFmtId="34" formatCode="_-&quot;R$&quot;\ * #,##0.00_-;\-&quot;R$&quot;\ * #,##0.00_-;_-&quot;R$&quot;\ * &quot;-&quot;??_-;_-@_-"/>
      <alignment horizontal="center" vertical="bottom"/>
      <protection locked="1" hidden="0"/>
    </dxf>
    <dxf>
      <font>
        <name val="Calibri"/>
        <family val="2"/>
        <strike val="0"/>
        <outline val="0"/>
        <shadow val="0"/>
        <condense val="0"/>
        <color theme="2" tint="-0.499984740745262"/>
        <extend val="0"/>
        <sz val="11"/>
        <vertAlign val="baseline"/>
        <scheme val="minor"/>
      </font>
      <numFmt numFmtId="13" formatCode="0%"/>
      <alignment horizontal="center" vertical="bottom"/>
      <protection locked="1" hidden="0"/>
    </dxf>
    <dxf>
      <font>
        <name val="Calibri"/>
        <family val="2"/>
        <strike val="0"/>
        <outline val="0"/>
        <shadow val="0"/>
        <color theme="2" tint="-0.499984740745262"/>
        <sz val="11"/>
        <vertAlign val="baseline"/>
        <scheme val="minor"/>
      </font>
    </dxf>
    <dxf>
      <alignment horizontal="center" vertical="bottom" shrinkToFit="1"/>
      <protection locked="0" hidden="0"/>
    </dxf>
    <dxf>
      <numFmt numFmtId="0" formatCode="General"/>
      <alignment horizontal="center"/>
    </dxf>
    <dxf>
      <font>
        <name val="Calibri"/>
        <family val="2"/>
        <strike val="0"/>
        <outline val="0"/>
        <shadow val="0"/>
        <color theme="2" tint="-0.499984740745262"/>
        <sz val="11"/>
        <vertAlign val="baseline"/>
        <scheme val="minor"/>
      </font>
      <numFmt numFmtId="34" formatCode="_-&quot;R$&quot;\ * #,##0.00_-;\-&quot;R$&quot;\ * #,##0.00_-;_-&quot;R$&quot;\ * &quot;-&quot;??_-;_-@_-"/>
      <alignment horizontal="center" vertical="bottom"/>
      <protection locked="1" hidden="0"/>
    </dxf>
    <dxf>
      <protection locked="0" hidden="0"/>
    </dxf>
    <dxf>
      <numFmt numFmtId="165" formatCode="_-[$R$-416]\ * #,##0.00_-;\-[$R$-416]\ * #,##0.00_-;_-[$R$-416]\ * &quot;-&quot;??_-;_-@_-"/>
      <alignment horizontal="center" vertical="bottom"/>
      <protection locked="0" hidden="0"/>
    </dxf>
    <dxf>
      <alignment horizontal="left" vertical="bottom"/>
      <protection locked="0" hidden="0"/>
    </dxf>
    <dxf>
      <fill>
        <patternFill patternType="solid">
          <fgColor indexed="64"/>
          <bgColor theme="0" tint="-0.249977111117893"/>
        </patternFill>
      </fill>
      <alignment horizontal="left" vertical="bottom" shrinkToFit="1"/>
      <protection locked="0" hidden="0"/>
    </dxf>
    <dxf>
      <font>
        <name val="Calibri"/>
        <family val="2"/>
        <strike val="0"/>
        <outline val="0"/>
        <shadow val="0"/>
        <color theme="2" tint="-0.499984740745262"/>
        <sz val="11"/>
        <vertAlign val="baseline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/>
      <protection locked="1" hidden="0"/>
    </dxf>
    <dxf>
      <font>
        <name val="Calibri"/>
        <family val="2"/>
        <strike val="0"/>
        <outline val="0"/>
        <shadow val="0"/>
        <color theme="2" tint="-0.499984740745262"/>
        <sz val="11"/>
        <vertAlign val="baseline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0.249977111117893"/>
        </patternFill>
      </fill>
      <alignment horizontal="center" vertical="bottom"/>
      <protection locked="1" hidden="0"/>
    </dxf>
    <dxf>
      <alignment horizontal="center" vertical="bottom"/>
      <protection locked="1" hidden="0"/>
    </dxf>
    <dxf>
      <font>
        <name val="Calibri"/>
        <family val="2"/>
        <b val="1"/>
        <strike val="0"/>
        <outline val="0"/>
        <shadow val="0"/>
        <color theme="1"/>
        <sz val="10"/>
        <vertAlign val="baseline"/>
        <scheme val="minor"/>
      </font>
      <alignment horizontal="center" vertical="center" wrapText="1"/>
    </dxf>
    <dxf>
      <fill>
        <patternFill>
          <bgColor theme="2" tint="-0.8999603259376812"/>
        </patternFill>
      </fill>
    </dxf>
    <dxf>
      <fill>
        <patternFill>
          <bgColor theme="8" tint="-0.249946592608417"/>
        </patternFill>
      </fill>
    </dxf>
  </dxfs>
  <tableStyles count="4" defaultTableStyle="TableStyleMedium2" defaultPivotStyle="PivotStyleLight16">
    <tableStyle name="Estilo de Tabela 1" pivot="0" count="0"/>
    <tableStyle name="Estilo de Tabela 2" pivot="0" count="1">
      <tableStyleElement type="firstRowStripe" dxfId="194"/>
    </tableStyle>
    <tableStyle name="Estilo de Tabela 3" pivot="0" count="1">
      <tableStyleElement type="firstHeaderCell" dxfId="193"/>
    </tableStyle>
    <tableStyle name="Estilo de Tabela 4" pivot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Manalink</author>
  </authors>
  <commentList>
    <comment ref="C8" authorId="0" shapeId="0">
      <text>
        <t>Preencha com a variação SKU que a planilha ira separar em loja e fornecedor/cliente. Não há necessidade de preencher a Coluna "Prefixo" e "Loja"</t>
      </text>
    </comment>
    <comment ref="D8" authorId="0" shapeId="0">
      <text>
        <t xml:space="preserve">Preencha com um titulo otimizado sobre o que é o produto.
</t>
      </text>
    </comment>
    <comment ref="F8" authorId="0" shapeId="0">
      <text>
        <t xml:space="preserve">Adicione aqui o preço de cadastro que está no anúncio ou coloque o valor listado nos 35% de margem.
</t>
      </text>
    </comment>
    <comment ref="K8" authorId="0" shapeId="0">
      <text>
        <t xml:space="preserve">Selecione a estratégia que deseja usar dentro do padrão da Mercadeo.
Sendo:
23% - para produtos acima de 100 vendas
17% - para produtos acima de 30 vendas
10% - para produtos com menos de 30 vendas
0% - possivel estratégia para ranquear
</t>
      </text>
    </comment>
    <comment ref="M8" authorId="0" shapeId="0">
      <text>
        <t xml:space="preserve">Desconto necessário para alcançar a margem desejada, aplique-a no cupom de desconto.
</t>
      </text>
    </comment>
    <comment ref="E9" authorId="0" shapeId="0">
      <text>
        <t xml:space="preserve">Preço de custo do produto listado nas especificações do cliente/forncedor (necessário para realizar o calculo de margem).
</t>
      </text>
    </comment>
    <comment ref="G9" authorId="0" shapeId="0">
      <text>
        <t>Desconto "DE/PARA" de 5% para encaixar na estratégia de preço</t>
      </text>
    </comment>
    <comment ref="L9" authorId="0" shapeId="0">
      <text>
        <t>Preço que o produto deve ter para manter a margem</t>
      </text>
    </comment>
  </commentList>
</comments>
</file>

<file path=xl/comments/comment2.xml><?xml version="1.0" encoding="utf-8"?>
<comments xmlns="http://schemas.openxmlformats.org/spreadsheetml/2006/main">
  <authors>
    <author>Manalink</author>
  </authors>
  <commentList>
    <comment ref="C8" authorId="0" shapeId="0">
      <text>
        <t>Preencha com a variação SKU que a planilha ira separar em loja e fornecedor/cliente. Não há necessidade de preencher a Coluna "Prefixo" e "Loja"</t>
      </text>
    </comment>
    <comment ref="D8" authorId="0" shapeId="0">
      <text>
        <t xml:space="preserve">Preencha com um titulo otimizado sobre o que é o produto.
</t>
      </text>
    </comment>
    <comment ref="F8" authorId="0" shapeId="0">
      <text>
        <t xml:space="preserve">Adicione o custo do produto listado nas especificações entregues pelo cliente.
Necessário para o calculo de margem.
</t>
      </text>
    </comment>
    <comment ref="G8" authorId="0" shapeId="0">
      <text>
        <t xml:space="preserve">Adicione o custo da embalagem ou deixe vazio
</t>
      </text>
    </comment>
    <comment ref="I8" authorId="0" shapeId="0">
      <text>
        <t xml:space="preserve">Adicione aqui o preço de cadastro que está no anúncio ou coloque o valor listado nos 35% de margem.
</t>
      </text>
    </comment>
    <comment ref="L8" authorId="0" shapeId="0">
      <text>
        <t xml:space="preserve">Insira o imposto da Nfe (Nota fiscal eletrônica) em porcentagem (%) para calcular os preços e as margens de contribuição.
</t>
      </text>
    </comment>
    <comment ref="M8" authorId="0" shapeId="0">
      <text>
        <t xml:space="preserve">Selecione a estratégia de preço que voce deseja almejar, ela irá gerar a quantidade de desconto necessário para chegar na margem de contriubuição necessária.
Atualmente temos:
23% - para produtos acima de 100 vendas;
17% - para produtos acima de 30 vendas;
10% - para produtos com menos de 30 vendas;
0% - possivel estratégia para ranquear;
E apenas o DE/PARA de 5% de desconto do valor de cadastro.
</t>
      </text>
    </comment>
    <comment ref="P8" authorId="0" shapeId="0">
      <text>
        <t xml:space="preserve">Taxa da categoria no Mercado Livre sendo elas:
19%; 
14%;
11%
Selecione a taxa correspondente a categoria do seu produto, isso pode ser visto na hora de cadastrar o produto na loja virtual.
</t>
      </text>
    </comment>
    <comment ref="K9" authorId="0" shapeId="0">
      <text>
        <t>Desconto "DE/PARA" de 5% para encaixar na estratégia de preço</t>
      </text>
    </comment>
    <comment ref="O9" authorId="0" shapeId="0">
      <text>
        <t>Preço que o produto deve ter para manter a margem</t>
      </text>
    </comment>
    <comment ref="T9" authorId="0" shapeId="0">
      <text>
        <t>Lucro real de quanto dinheiro se ganha por venda.</t>
      </text>
    </comment>
  </commentList>
</comments>
</file>

<file path=xl/comments/comment3.xml><?xml version="1.0" encoding="utf-8"?>
<comments xmlns="http://schemas.openxmlformats.org/spreadsheetml/2006/main">
  <authors>
    <author>Manalink</author>
  </authors>
  <commentList>
    <comment ref="C8" authorId="0" shapeId="0">
      <text>
        <t>Preencha com a variação SKU que a planilha ira separar em loja e fornecedor/cliente. Não há necessidade de preencher a Coluna "Prefixo" e "Loja"</t>
      </text>
    </comment>
    <comment ref="D8" authorId="0" shapeId="0">
      <text>
        <t xml:space="preserve">Preencha com um titulo otimizado sobre o que é o produto.
</t>
      </text>
    </comment>
    <comment ref="F8" authorId="0" shapeId="0">
      <text>
        <t xml:space="preserve">Adicione aqui o preço de cadastro que está no anúncio ou coloque o valor listado nos 35% de margem.
</t>
      </text>
    </comment>
    <comment ref="K8" authorId="0" shapeId="0">
      <text>
        <t xml:space="preserve">Selecione a estratégia que deseja usar dentro do padrão da Mercadeo.
Sendo:
23% - para produtos acima de 100 vendas
17% - para produtos acima de 30 vendas
10% - para produtos com menos de 30 vendas
0% - possivel estratégia para ranquear
</t>
      </text>
    </comment>
    <comment ref="L8" authorId="0" shapeId="0">
      <text>
        <t xml:space="preserve">Desconto necessário para alcançar a margem desejada, aplique-a no cupom de desconto.
</t>
      </text>
    </comment>
    <comment ref="E9" authorId="0" shapeId="0">
      <text>
        <t xml:space="preserve">Preço de custo do produto listado nas especificações do cliente/forncedor (necessário para realizar o calculo de margem).
</t>
      </text>
    </comment>
    <comment ref="G9" authorId="0" shapeId="0">
      <text>
        <t>Desconto "DE/PARA" de 5% para encaixar na estratégia de preço</t>
      </text>
    </comment>
    <comment ref="M9" authorId="0" shapeId="0">
      <text>
        <t>Preço que o produto deve ter para manter a margem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Manalink\Desktop\gabryel\planilha_Calc_shopee_atualizada2026(Recuperado%20Automaticamente)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ELA_PRINCIPAL"/>
      <sheetName val="PRESENTE_NET"/>
      <sheetName val="EITA_COISA_BOA"/>
      <sheetName val="Vendedores"/>
      <sheetName val="DashBoard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1" name="tb_preco_shp" displayName="tb_preco_shp" ref="A9:T13" headerRowCount="1" totalsRowShown="0" headerRowDxfId="192" dataDxfId="191">
  <autoFilter ref="A9:T13"/>
  <tableColumns count="20">
    <tableColumn id="6" name="Loja" dataDxfId="190" dataCellStyle="Porcentagem">
      <calculatedColumnFormula>IF(tb_preco_shp[[#This Row],[Prefixo]]="","",VLOOKUP(tb_preco_shp[[#This Row],[Prefixo]],Auxiliar[],2,FALSE))</calculatedColumnFormula>
    </tableColumn>
    <tableColumn id="7" name="Prefixo" dataDxfId="189" dataCellStyle="Porcentagem">
      <calculatedColumnFormula>IF(tb_preco_shp[[#This Row],[SKU]] =  "", "",IFERROR(LEFT(tb_preco_shp[[#This Row],[SKU]],FIND(".",tb_preco_shp[[#This Row],[SKU]])-1),tb_preco_shp[[#This Row],[SKU]]))</calculatedColumnFormula>
    </tableColumn>
    <tableColumn id="9" name="SKU" dataDxfId="188"/>
    <tableColumn id="1" name="Produto" dataDxfId="187"/>
    <tableColumn id="3" name="Preço Custo" dataDxfId="186"/>
    <tableColumn id="2" name="Preço Cadastro DE" dataDxfId="185" dataCellStyle="Moeda"/>
    <tableColumn id="10" name="PARA" dataDxfId="184" dataCellStyle="Moeda">
      <calculatedColumnFormula>tb_preco_shp[[#This Row],[Preço Cadastro DE]]-(tb_preco_shp[[#This Row],[Preço Cadastro DE]]*5%)</calculatedColumnFormula>
    </tableColumn>
    <tableColumn id="20" name="Imposto (Nfe)" dataDxfId="183"/>
    <tableColumn id="4" name="Estratégia de preço" dataDxfId="182" dataCellStyle="Porcentagem"/>
    <tableColumn id="15" name="Preço alvo" dataDxfId="181" dataCellStyle="Moeda">
      <calculatedColumnFormula>IFERROR(IF(tb_preco_shp[[#This Row],[Estratégia de preço]]="","",IF(TEXT(tb_preco_shp[[#This Row],[Estratégia de preço]],"0%")="23%",tb_preco_shp[[#This Row],[23% de Contribuição]],IF(TEXT(tb_preco_shp[[#This Row],[Estratégia de preço]],"0%")="17%",tb_preco_shp[[#This Row],[17% de Contribuição]],IF(TEXT(tb_preco_shp[[#This Row],[Estratégia de preço]],"0%")="10%",tb_preco_shp[[#This Row],[10% de Contribuição]],IF(TEXT(tb_preco_shp[[#This Row],[Estratégia de preço]],"0%")="0%",tb_preco_shp[[#This Row],[0% de Contribuição]],""))))),"")</calculatedColumnFormula>
    </tableColumn>
    <tableColumn id="14" name="Cupom (%)" dataDxfId="180" dataCellStyle="Porcentagem">
      <calculatedColumnFormula>IFERROR(IF(tb_preco_shp[[#This Row],[Estratégia de preço]]="","",MAX(0,1-IF(TEXT(tb_preco_shp[[#This Row],[Estratégia de preço]],"0%")="23%",tb_preco_shp[[#This Row],[23% de Contribuição]]/tb_preco_shp[[#This Row],[Preço Cadastro DE]],IF(TEXT(tb_preco_shp[[#This Row],[Estratégia de preço]],"0%")="17%",tb_preco_shp[[#This Row],[17% de Contribuição]]/tb_preco_shp[[#This Row],[Preço Cadastro DE]],IF(TEXT(tb_preco_shp[[#This Row],[Estratégia de preço]],"0%")="10%",tb_preco_shp[[#This Row],[10% de Contribuição]]/tb_preco_shp[[#This Row],[Preço Cadastro DE]],IF(TEXT(tb_preco_shp[[#This Row],[Estratégia de preço]],"0%")="0%",tb_preco_shp[[#This Row],[0% de Contribuição]]/tb_preco_shp[[#This Row],[Preço Cadastro DE]],1)))))),"")</calculatedColumnFormula>
    </tableColumn>
    <tableColumn id="8" name="Taxa" dataDxfId="179" dataCellStyle="Moeda">
      <calculatedColumnFormula>IFERROR(IF(OR(tb_preco_shp[[#This Row],[Preço Custo]]="",tb_preco_shp[[#This Row],[Imposto (Nfe)]]="",IF(OR(tb_preco_shp[[#This Row],[Estratégia de preço]]="",tb_preco_shp[[#This Row],[Estratégia de preço]]="Só DE/PARA",tb_preco_shp[[#This Row],[Estratégia de preço]]="Só DE/PARA"),tb_preco_shp[[#This Row],[PARA]],tb_preco_shp[[#This Row],[Preço alvo]])=""),"",IF(IF(OR(tb_preco_shp[[#This Row],[Estratégia de preço]]="",tb_preco_shp[[#This Row],[Estratégia de preço]]="Só DE/PARA",tb_preco_shp[[#This Row],[Estratégia de preço]]="Só DE/PARA"),tb_preco_shp[[#This Row],[PARA]],tb_preco_shp[[#This Row],[Preço alvo]])&lt;=79.99,"Faixa 1",IF(IF(OR(tb_preco_shp[[#This Row],[Estratégia de preço]]="",tb_preco_shp[[#This Row],[Estratégia de preço]]="Só DE/PARA",tb_preco_shp[[#This Row],[Estratégia de preço]]="Só DE/PARA"),tb_preco_shp[[#This Row],[PARA]],tb_preco_shp[[#This Row],[Preço alvo]])&lt;=99.99,"Faixa 2",IF(IF(OR(tb_preco_shp[[#This Row],[Estratégia de preço]]="",tb_preco_shp[[#This Row],[Estratégia de preço]]="Só DE/PARA",tb_preco_shp[[#This Row],[Estratégia de preço]]="Só DE/PARA"),tb_preco_shp[[#This Row],[PARA]],tb_preco_shp[[#This Row],[Preço alvo]])&lt;=199.99,"Faixa 3",IF(IF(OR(tb_preco_shp[[#This Row],[Estratégia de preço]]="",tb_preco_shp[[#This Row],[Estratégia de preço]]="Só DE/PARA",tb_preco_shp[[#This Row],[Estratégia de preço]]="Só DE/PARA"),tb_preco_shp[[#This Row],[PARA]],tb_preco_shp[[#This Row],[Preço alvo]])&lt;=499.99,"Faixa 4","Faixa 5"))))),"")</calculatedColumnFormula>
    </tableColumn>
    <tableColumn id="11" name="Margem de contribuição" dataDxfId="178" dataCellStyle="Porcentagem">
      <calculatedColumnFormula>IFERROR(IF(OR(tb_preco_shp[[#This Row],[Preço Custo]]="",tb_preco_shp[[#This Row],[Imposto (Nfe)]]="",IF(OR(tb_preco_shp[[#This Row],[Estratégia de preço]]="",tb_preco_shp[[#This Row],[Estratégia de preço]]="Selecionar Estratégia",tb_preco_shp[[#This Row],[Estratégia de preço]]="Só DE/PARA"),tb_preco_shp[[#This Row],[PARA]],tb_preco_shp[[#This Row],[Preço alvo]])=""),"",(IF(OR(tb_preco_shp[[#This Row],[Estratégia de preço]]="",tb_preco_shp[[#This Row],[Estratégia de preço]]="Selecionar Estratégia",tb_preco_shp[[#This Row],[Estratégia de preço]]="Só DE/PARA"),tb_preco_shp[[#This Row],[PARA]],tb_preco_shp[[#This Row],[Preço alvo]])-((IF(OR(tb_preco_shp[[#This Row],[Estratégia de preço]]="",tb_preco_shp[[#This Row],[Estratégia de preço]]="Selecionar Estratégia",tb_preco_shp[[#This Row],[Estratégia de preço]]="Só DE/PARA"),tb_preco_shp[[#This Row],[PARA]],tb_preco_shp[[#This Row],[Preço alvo]])*(IF(IF(OR(tb_preco_shp[[#This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alvo]])&lt;=79.99,20%,14%)+tb_preco_shp[[#This Row],[Imposto (Nfe)]]))+IF(IF(OR(tb_preco_shp[[#This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alvo]])&lt;=79.99,4,IF(IF(OR(tb_preco_shp[[#This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alvo]])&lt;=99.99,16,IF(IF(OR(tb_preco_shp[[#This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alvo]])&lt;=199.99,20,IF(IF(OR(tb_preco_shp[[#This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alvo]])&lt;=499.99,26,28)))))-tb_preco_shp[[#This Row],[Preço Custo]])/IF(OR(tb_preco_shp[[#This Row],[Estratégia de preço]]="",tb_preco_shp[[#This Row],[Estratégia de preço]]="Selecionar Estratégia",tb_preco_shp[[#This Row],[Estratégia de preço]]="Só DE/PARA"),tb_preco_shp[[#This Row],[PARA]],tb_preco_shp[[#This Row],[Preço alvo]])),"")</calculatedColumnFormula>
    </tableColumn>
    <tableColumn id="5" name="Lucro por unidade" dataDxfId="177" dataCellStyle="Moeda">
      <calculatedColumnFormula>IFERROR(IF(OR(tb_preco_shp[[#This Row],[Preço Custo]]="",tb_preco_shp[[#This Row],[Imposto (Nfe)]]="",tb_preco_shp[[#This Row],[Taxa]]="",IF(OR(tb_preco_shp[[#This Row],[Estratégia de preço]]="",tb_preco_shp[[#This Row],[Estratégia de preço]]="Só DE/PARA"),tb_preco_shp[[#This Row],[PARA]],tb_preco_shp[[#This Row],[Preço alvo]])=""),"",IF(OR(tb_preco_shp[[#This Row],[Estratégia de preço]]="",tb_preco_shp[[#This Row],[Estratégia de preço]]="Só DE/PARA"),tb_preco_shp[[#This Row],[PARA]],tb_preco_shp[[#This Row],[Preço alvo]])-((IF(OR(tb_preco_shp[[#This Row],[Estratégia de preço]]="",tb_preco_shp[[#This Row],[Estratégia de preço]]="Só DE/PARA"),tb_preco_shp[[#This Row],[PARA]],tb_preco_shp[[#This Row],[Preço alvo]])*(VLOOKUP(TRIM(tb_preco_shp[[#This Row],[Taxa]]),tb_faixas_shoppe[],3,FALSE)+tb_preco_shp[[#This Row],[Imposto (Nfe)]]))+VLOOKUP(TRIM(tb_preco_shp[[#This Row],[Taxa]]),tb_faixas_shoppe[],4,FALSE))-tb_preco_shp[[#This Row],[Preço Custo]]),"")</calculatedColumnFormula>
    </tableColumn>
    <tableColumn id="12" name="35% de Contribuição" dataDxfId="176" dataCellStyle="Moeda">
      <calculatedColumnFormula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(Nfe)]]-35%)&lt;=79.99,( tb_preco_shp[[#This Row],[Preço Custo]]+VLOOKUP("Faixa 1",tb_faixas_shoppe[],4,FALSE) )/(1-VLOOKUP("Faixa 1",tb_faixas_shoppe[],3,FALSE)-tb_preco_shp[[#This Row],[Imposto (Nfe)]]-35%),IF(AND((tb_preco_shp[[#This Row],[Preço Custo]]+VLOOKUP("Faixa 2",tb_faixas_shoppe[],4,FALSE))/(1-VLOOKUP("Faixa 2",tb_faixas_shoppe[],3,FALSE)-tb_preco_shp[[#This Row],[Imposto (Nfe)]]-35%)&gt;=80,( tb_preco_shp[[#This Row],[Preço Custo]]+VLOOKUP("Faixa 2",tb_faixas_shoppe[],4,FALSE) )/(1-VLOOKUP("Faixa 2",tb_faixas_shoppe[],3,FALSE)-tb_preco_shp[[#This Row],[Imposto (Nfe)]]-35%)&lt;100),( tb_preco_shp[[#This Row],[Preço Custo]]+VLOOKUP("Faixa 2",tb_faixas_shoppe[],4,FALSE) )/(1-VLOOKUP("Faixa 2",tb_faixas_shoppe[],3,FALSE)-tb_preco_shp[[#This Row],[Imposto (Nfe)]]-35%),IF(AND((tb_preco_shp[[#This Row],[Preço Custo]]+VLOOKUP("Faixa 3",tb_faixas_shoppe[],4,FALSE))/(1-VLOOKUP("Faixa 3",tb_faixas_shoppe[],3,FALSE)-tb_preco_shp[[#This Row],[Imposto (Nfe)]]-35%)&gt;=100,( tb_preco_shp[[#This Row],[Preço Custo]]+VLOOKUP("Faixa 3",tb_faixas_shoppe[],4,FALSE) )/(1-VLOOKUP("Faixa 3",tb_faixas_shoppe[],3,FALSE)-tb_preco_shp[[#This Row],[Imposto (Nfe)]]-35%)&lt;200),( tb_preco_shp[[#This Row],[Preço Custo]]+VLOOKUP("Faixa 3",tb_faixas_shoppe[],4,FALSE) )/(1-VLOOKUP("Faixa 3",tb_faixas_shoppe[],3,FALSE)-tb_preco_shp[[#This Row],[Imposto (Nfe)]]-35%),IF(AND((tb_preco_shp[[#This Row],[Preço Custo]]+VLOOKUP("Faixa 4",tb_faixas_shoppe[],4,FALSE))/(1-VLOOKUP("Faixa 4",tb_faixas_shoppe[],3,FALSE)-tb_preco_shp[[#This Row],[Imposto (Nfe)]]-35%)&gt;=200,( tb_preco_shp[[#This Row],[Preço Custo]]+VLOOKUP("Faixa 4",tb_faixas_shoppe[],4,FALSE) )/(1-VLOOKUP("Faixa 4",tb_faixas_shoppe[],3,FALSE)-tb_preco_shp[[#This Row],[Imposto (Nfe)]]-35%)&lt;500),( tb_preco_shp[[#This Row],[Preço Custo]]+VLOOKUP("Faixa 4",tb_faixas_shoppe[],4,FALSE) )/(1-VLOOKUP("Faixa 4",tb_faixas_shoppe[],3,FALSE)-tb_preco_shp[[#This Row],[Imposto (Nfe)]]-35%),( tb_preco_shp[[#This Row],[Preço Custo]]+VLOOKUP("Faixa 5",tb_faixas_shoppe[],4,FALSE) )/(1-VLOOKUP("Faixa 5",tb_faixas_shoppe[],3,FALSE)-tb_preco_shp[[#This Row],[Imposto (Nfe)]]-35%))))),2),""))</calculatedColumnFormula>
    </tableColumn>
    <tableColumn id="19" name="30% de Contribuição" dataDxfId="175" dataCellStyle="Porcentagem">
      <calculatedColumnFormula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(Nfe)]]-30%)&lt;=79.99,(tb_preco_shp[[#This Row],[Preço Custo]]+VLOOKUP("Faixa 1",tb_faixas_shoppe[],4,FALSE))/(1-VLOOKUP("Faixa 1",tb_faixas_shoppe[],3,FALSE)-tb_preco_shp[[#This Row],[Imposto (Nfe)]]-30%),IF(AND((tb_preco_shp[[#This Row],[Preço Custo]]+VLOOKUP("Faixa 2",tb_faixas_shoppe[],4,FALSE))/(1-VLOOKUP("Faixa 2",tb_faixas_shoppe[],3,FALSE)-tb_preco_shp[[#This Row],[Imposto (Nfe)]]-30%)&gt;=80,(tb_preco_shp[[#This Row],[Preço Custo]]+VLOOKUP("Faixa 2",tb_faixas_shoppe[],4,FALSE))/(1-VLOOKUP("Faixa 2",tb_faixas_shoppe[],3,FALSE)-tb_preco_shp[[#This Row],[Imposto (Nfe)]]-30%)&lt;100),(tb_preco_shp[[#This Row],[Preço Custo]]+VLOOKUP("Faixa 2",tb_faixas_shoppe[],4,FALSE))/(1-VLOOKUP("Faixa 2",tb_faixas_shoppe[],3,FALSE)-tb_preco_shp[[#This Row],[Imposto (Nfe)]]-30%),IF(AND((tb_preco_shp[[#This Row],[Preço Custo]]+VLOOKUP("Faixa 3",tb_faixas_shoppe[],4,FALSE))/(1-VLOOKUP("Faixa 3",tb_faixas_shoppe[],3,FALSE)-tb_preco_shp[[#This Row],[Imposto (Nfe)]]-30%)&gt;=100,(tb_preco_shp[[#This Row],[Preço Custo]]+VLOOKUP("Faixa 3",tb_faixas_shoppe[],4,FALSE))/(1-VLOOKUP("Faixa 3",tb_faixas_shoppe[],3,FALSE)-tb_preco_shp[[#This Row],[Imposto (Nfe)]]-30%)&lt;200),(tb_preco_shp[[#This Row],[Preço Custo]]+VLOOKUP("Faixa 3",tb_faixas_shoppe[],4,FALSE))/(1-VLOOKUP("Faixa 3",tb_faixas_shoppe[],3,FALSE)-tb_preco_shp[[#This Row],[Imposto (Nfe)]]-30%),IF(AND((tb_preco_shp[[#This Row],[Preço Custo]]+VLOOKUP("Faixa 4",tb_faixas_shoppe[],4,FALSE))/(1-VLOOKUP("Faixa 4",tb_faixas_shoppe[],3,FALSE)-tb_preco_shp[[#This Row],[Imposto (Nfe)]]-30%)&gt;=200,(tb_preco_shp[[#This Row],[Preço Custo]]+VLOOKUP("Faixa 4",tb_faixas_shoppe[],4,FALSE))/(1-VLOOKUP("Faixa 4",tb_faixas_shoppe[],3,FALSE)-tb_preco_shp[[#This Row],[Imposto (Nfe)]]-30%)&lt;500),(tb_preco_shp[[#This Row],[Preço Custo]]+VLOOKUP("Faixa 4",tb_faixas_shoppe[],4,FALSE))/(1-VLOOKUP("Faixa 4",tb_faixas_shoppe[],3,FALSE)-tb_preco_shp[[#This Row],[Imposto (Nfe)]]-30%),(tb_preco_shp[[#This Row],[Preço Custo]]+VLOOKUP("Faixa 5",tb_faixas_shoppe[],4,FALSE))/(1-VLOOKUP("Faixa 5",tb_faixas_shoppe[],3,FALSE)-tb_preco_shp[[#This Row],[Imposto (Nfe)]]-30%))))),2),""))</calculatedColumnFormula>
    </tableColumn>
    <tableColumn id="16" name="23% de Contribuição" dataDxfId="174" dataCellStyle="Porcentagem">
      <calculatedColumnFormula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(Nfe)]]-23%)&lt;=79.99,(tb_preco_shp[[#This Row],[Preço Custo]]+VLOOKUP("Faixa 1",tb_faixas_shoppe[],4,FALSE))/(1-VLOOKUP("Faixa 1",tb_faixas_shoppe[],3,FALSE)-tb_preco_shp[[#This Row],[Imposto (Nfe)]]-23%),IF(AND((tb_preco_shp[[#This Row],[Preço Custo]]+VLOOKUP("Faixa 2",tb_faixas_shoppe[],4,FALSE))/(1-VLOOKUP("Faixa 2",tb_faixas_shoppe[],3,FALSE)-tb_preco_shp[[#This Row],[Imposto (Nfe)]]-23%)&gt;=80,(tb_preco_shp[[#This Row],[Preço Custo]]+VLOOKUP("Faixa 2",tb_faixas_shoppe[],4,FALSE))/(1-VLOOKUP("Faixa 2",tb_faixas_shoppe[],3,FALSE)-tb_preco_shp[[#This Row],[Imposto (Nfe)]]-23%)&lt;100),(tb_preco_shp[[#This Row],[Preço Custo]]+VLOOKUP("Faixa 2",tb_faixas_shoppe[],4,FALSE))/(1-VLOOKUP("Faixa 2",tb_faixas_shoppe[],3,FALSE)-tb_preco_shp[[#This Row],[Imposto (Nfe)]]-23%),IF(AND((tb_preco_shp[[#This Row],[Preço Custo]]+VLOOKUP("Faixa 3",tb_faixas_shoppe[],4,FALSE))/(1-VLOOKUP("Faixa 3",tb_faixas_shoppe[],3,FALSE)-tb_preco_shp[[#This Row],[Imposto (Nfe)]]-23%)&gt;=100,(tb_preco_shp[[#This Row],[Preço Custo]]+VLOOKUP("Faixa 3",tb_faixas_shoppe[],4,FALSE))/(1-VLOOKUP("Faixa 3",tb_faixas_shoppe[],3,FALSE)-tb_preco_shp[[#This Row],[Imposto (Nfe)]]-23%)&lt;200),(tb_preco_shp[[#This Row],[Preço Custo]]+VLOOKUP("Faixa 3",tb_faixas_shoppe[],4,FALSE))/(1-VLOOKUP("Faixa 3",tb_faixas_shoppe[],3,FALSE)-tb_preco_shp[[#This Row],[Imposto (Nfe)]]-23%),IF(AND((tb_preco_shp[[#This Row],[Preço Custo]]+VLOOKUP("Faixa 4",tb_faixas_shoppe[],4,FALSE))/(1-VLOOKUP("Faixa 4",tb_faixas_shoppe[],3,FALSE)-tb_preco_shp[[#This Row],[Imposto (Nfe)]]-23%)&gt;=200,(tb_preco_shp[[#This Row],[Preço Custo]]+VLOOKUP("Faixa 4",tb_faixas_shoppe[],4,FALSE))/(1-VLOOKUP("Faixa 4",tb_faixas_shoppe[],3,FALSE)-tb_preco_shp[[#This Row],[Imposto (Nfe)]]-23%)&lt;500),(tb_preco_shp[[#This Row],[Preço Custo]]+VLOOKUP("Faixa 4",tb_faixas_shoppe[],4,FALSE))/(1-VLOOKUP("Faixa 4",tb_faixas_shoppe[],3,FALSE)-tb_preco_shp[[#This Row],[Imposto (Nfe)]]-23%),(tb_preco_shp[[#This Row],[Preço Custo]]+VLOOKUP("Faixa 5",tb_faixas_shoppe[],4,FALSE))/(1-VLOOKUP("Faixa 5",tb_faixas_shoppe[],3,FALSE)-tb_preco_shp[[#This Row],[Imposto (Nfe)]]-23%))))),2),""))</calculatedColumnFormula>
    </tableColumn>
    <tableColumn id="17" name="17% de Contribuição" dataDxfId="173" dataCellStyle="Moeda">
      <calculatedColumnFormula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(Nfe)]]-17%)&lt;=79.99,(tb_preco_shp[[#This Row],[Preço Custo]]+VLOOKUP("Faixa 1",tb_faixas_shoppe[],4,FALSE))/(1-VLOOKUP("Faixa 1",tb_faixas_shoppe[],3,FALSE)-tb_preco_shp[[#This Row],[Imposto (Nfe)]]-17%),IF(AND((tb_preco_shp[[#This Row],[Preço Custo]]+VLOOKUP("Faixa 2",tb_faixas_shoppe[],4,FALSE))/(1-VLOOKUP("Faixa 2",tb_faixas_shoppe[],3,FALSE)-tb_preco_shp[[#This Row],[Imposto (Nfe)]]-17%)&gt;=80,(tb_preco_shp[[#This Row],[Preço Custo]]+VLOOKUP("Faixa 2",tb_faixas_shoppe[],4,FALSE))/(1-VLOOKUP("Faixa 2",tb_faixas_shoppe[],3,FALSE)-tb_preco_shp[[#This Row],[Imposto (Nfe)]]-17%)&lt;100),(tb_preco_shp[[#This Row],[Preço Custo]]+VLOOKUP("Faixa 2",tb_faixas_shoppe[],4,FALSE))/(1-VLOOKUP("Faixa 2",tb_faixas_shoppe[],3,FALSE)-tb_preco_shp[[#This Row],[Imposto (Nfe)]]-17%),IF(AND((tb_preco_shp[[#This Row],[Preço Custo]]+VLOOKUP("Faixa 3",tb_faixas_shoppe[],4,FALSE))/(1-VLOOKUP("Faixa 3",tb_faixas_shoppe[],3,FALSE)-tb_preco_shp[[#This Row],[Imposto (Nfe)]]-17%)&gt;=100,(tb_preco_shp[[#This Row],[Preço Custo]]+VLOOKUP("Faixa 3",tb_faixas_shoppe[],4,FALSE))/(1-VLOOKUP("Faixa 3",tb_faixas_shoppe[],3,FALSE)-tb_preco_shp[[#This Row],[Imposto (Nfe)]]-17%)&lt;200),(tb_preco_shp[[#This Row],[Preço Custo]]+VLOOKUP("Faixa 3",tb_faixas_shoppe[],4,FALSE))/(1-VLOOKUP("Faixa 3",tb_faixas_shoppe[],3,FALSE)-tb_preco_shp[[#This Row],[Imposto (Nfe)]]-17%),IF(AND((tb_preco_shp[[#This Row],[Preço Custo]]+VLOOKUP("Faixa 4",tb_faixas_shoppe[],4,FALSE))/(1-VLOOKUP("Faixa 4",tb_faixas_shoppe[],3,FALSE)-tb_preco_shp[[#This Row],[Imposto (Nfe)]]-17%)&gt;=200,(tb_preco_shp[[#This Row],[Preço Custo]]+VLOOKUP("Faixa 4",tb_faixas_shoppe[],4,FALSE))/(1-VLOOKUP("Faixa 4",tb_faixas_shoppe[],3,FALSE)-tb_preco_shp[[#This Row],[Imposto (Nfe)]]-17%)&lt;500),(tb_preco_shp[[#This Row],[Preço Custo]]+VLOOKUP("Faixa 4",tb_faixas_shoppe[],4,FALSE))/(1-VLOOKUP("Faixa 4",tb_faixas_shoppe[],3,FALSE)-tb_preco_shp[[#This Row],[Imposto (Nfe)]]-17%),(tb_preco_shp[[#This Row],[Preço Custo]]+VLOOKUP("Faixa 5",tb_faixas_shoppe[],4,FALSE))/(1-VLOOKUP("Faixa 5",tb_faixas_shoppe[],3,FALSE)-tb_preco_shp[[#This Row],[Imposto (Nfe)]]-17%))))),2),""))</calculatedColumnFormula>
    </tableColumn>
    <tableColumn id="18" name="10% de Contribuição" dataDxfId="172" dataCellStyle="Porcentagem">
      <calculatedColumnFormula>IF(tb_preco_shp[[#This Row],[Preço Custo]]="","",IFERROR(
ROUND(
IF((tb_preco_shp[[#This Row],[Preço Custo]]+4)/(1-28%-10%)&lt;80,
   (tb_preco_shp[[#This Row],[Preço Custo]]+4)/(1-28%-10%),
   IF(AND((tb_preco_shp[[#This Row],[Preço Custo]]+16)/(1-22%-10%)&gt;=80, (tb_preco_shp[[#This Row],[Preço Custo]]+16)/(1-22%-10%)&lt;100),
      (tb_preco_shp[[#This Row],[Preço Custo]]+16)/(1-22%-10%),
      IF(AND((tb_preco_shp[[#This Row],[Preço Custo]]+20)/(1-22%-10%)&gt;=100, (tb_preco_shp[[#This Row],[Preço Custo]]+20)/(1-22%-10%)&lt;200),
         (tb_preco_shp[[#This Row],[Preço Custo]]+20)/(1-22%-10%),
         IF(AND((tb_preco_shp[[#This Row],[Preço Custo]]+26)/(1-22%-10%)&gt;=200, (tb_preco_shp[[#This Row],[Preço Custo]]+26)/(1-22%-10%)&lt;500),
            (tb_preco_shp[[#This Row],[Preço Custo]]+26)/(1-22%-10%),
            (tb_preco_shp[[#This Row],[Preço Custo]]+28)/(1-22%-10%)
         )
      )
   )
),2),""))</calculatedColumnFormula>
    </tableColumn>
    <tableColumn id="13" name="0% de Contribuição" dataDxfId="171" dataCellStyle="Porcentagem">
      <calculatedColumnFormula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(Nfe)]])&lt;=79.99,(tb_preco_shp[[#This Row],[Preço Custo]]+VLOOKUP("Faixa 1",tb_faixas_shoppe[],4,FALSE))/(1-VLOOKUP("Faixa 1",tb_faixas_shoppe[],3,FALSE)-tb_preco_shp[[#This Row],[Imposto (Nfe)]]),IF(AND((tb_preco_shp[[#This Row],[Preço Custo]]+VLOOKUP("Faixa 2",tb_faixas_shoppe[],4,FALSE))/(1-VLOOKUP("Faixa 2",tb_faixas_shoppe[],3,FALSE)-tb_preco_shp[[#This Row],[Imposto (Nfe)]])&gt;=80,(tb_preco_shp[[#This Row],[Preço Custo]]+VLOOKUP("Faixa 2",tb_faixas_shoppe[],4,FALSE))/(1-VLOOKUP("Faixa 2",tb_faixas_shoppe[],3,FALSE)-tb_preco_shp[[#This Row],[Imposto (Nfe)]])&lt;100),(tb_preco_shp[[#This Row],[Preço Custo]]+VLOOKUP("Faixa 2",tb_faixas_shoppe[],4,FALSE))/(1-VLOOKUP("Faixa 2",tb_faixas_shoppe[],3,FALSE)-tb_preco_shp[[#This Row],[Imposto (Nfe)]]),IF(AND((tb_preco_shp[[#This Row],[Preço Custo]]+VLOOKUP("Faixa 3",tb_faixas_shoppe[],4,FALSE))/(1-VLOOKUP("Faixa 3",tb_faixas_shoppe[],3,FALSE)-tb_preco_shp[[#This Row],[Imposto (Nfe)]])&gt;=100,(tb_preco_shp[[#This Row],[Preço Custo]]+VLOOKUP("Faixa 3",tb_faixas_shoppe[],4,FALSE))/(1-VLOOKUP("Faixa 3",tb_faixas_shoppe[],3,FALSE)-tb_preco_shp[[#This Row],[Imposto (Nfe)]])&lt;200),(tb_preco_shp[[#This Row],[Preço Custo]]+VLOOKUP("Faixa 3",tb_faixas_shoppe[],4,FALSE))/(1-VLOOKUP("Faixa 3",tb_faixas_shoppe[],3,FALSE)-tb_preco_shp[[#This Row],[Imposto (Nfe)]]),IF(AND((tb_preco_shp[[#This Row],[Preço Custo]]+VLOOKUP("Faixa 4",tb_faixas_shoppe[],4,FALSE))/(1-VLOOKUP("Faixa 4",tb_faixas_shoppe[],3,FALSE)-tb_preco_shp[[#This Row],[Imposto (Nfe)]])&gt;=200,(tb_preco_shp[[#This Row],[Preço Custo]]+VLOOKUP("Faixa 4",tb_faixas_shoppe[],4,FALSE))/(1-VLOOKUP("Faixa 4",tb_faixas_shoppe[],3,FALSE)-tb_preco_shp[[#This Row],[Imposto (Nfe)]])&lt;500),(tb_preco_shp[[#This Row],[Preço Custo]]+VLOOKUP("Faixa 4",tb_faixas_shoppe[],4,FALSE))/(1-VLOOKUP("Faixa 4",tb_faixas_shoppe[],3,FALSE)-tb_preco_shp[[#This Row],[Imposto (Nfe)]]),(tb_preco_shp[[#This Row],[Preço Custo]]+VLOOKUP("Faixa 5",tb_faixas_shoppe[],4,FALSE))/(1-VLOOKUP("Faixa 5",tb_faixas_shoppe[],3,FALSE)-tb_preco_shp[[#This Row],[Imposto (Nfe)]]))))),2),""))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b_preco_ML" displayName="tb_preco_ML" ref="A9:CP10" headerRowCount="1" totalsRowShown="0" headerRowDxfId="170" dataDxfId="168" headerRowBorderDxfId="169" tableBorderDxfId="167" totalsRowBorderDxfId="166">
  <autoFilter ref="A9:CP10"/>
  <sortState ref="C10:S10">
    <sortCondition ref="C9:C10"/>
  </sortState>
  <tableColumns count="94">
    <tableColumn id="18" name="Loja" dataDxfId="165" dataCellStyle="Porcentagem">
      <calculatedColumnFormula>IF(tb_preco_ML[[#This Row],[Prefixo]]="","",VLOOKUP(tb_preco_ML[[#This Row],[Prefixo]],Auxiliar[],2,FALSE))</calculatedColumnFormula>
    </tableColumn>
    <tableColumn id="15" name="Prefixo" dataDxfId="164" dataCellStyle="Porcentagem">
      <calculatedColumnFormula>IF(tb_preco_ML[[#This Row],[SKU]] =  "", "",IFERROR(LEFT(tb_preco_ML[[#This Row],[SKU]],FIND(".",tb_preco_ML[[#This Row],[SKU]])-1),tb_preco_ML[[#This Row],[SKU]]))</calculatedColumnFormula>
    </tableColumn>
    <tableColumn id="9" name="SKU" dataDxfId="163"/>
    <tableColumn id="1" name="Título" dataDxfId="162"/>
    <tableColumn id="22" name="Peso" dataDxfId="161"/>
    <tableColumn id="96" name="Custo" dataDxfId="160" dataCellStyle="Moeda"/>
    <tableColumn id="95" name="Custo Embalagem" dataDxfId="159" dataCellStyle="Moeda"/>
    <tableColumn id="3" name="Custo Final" dataDxfId="158">
      <calculatedColumnFormula>IF(AND(tb_preco_ML[[#This Row],[Custo]]="",tb_preco_ML[[#This Row],[Custo Embalagem]]=""),"",IF(tb_preco_ML[[#This Row],[Custo]]="",tb_preco_ML[[#This Row],[Custo Embalagem]],IF(tb_preco_ML[[#This Row],[Custo Embalagem]]="",tb_preco_ML[[#This Row],[Custo]],tb_preco_ML[[#This Row],[Custo]]+tb_preco_ML[[#This Row],[Custo Embalagem]])))</calculatedColumnFormula>
    </tableColumn>
    <tableColumn id="2" name="Preço Cadastro DE" dataDxfId="157" dataCellStyle="Moeda"/>
    <tableColumn id="34" name="Desconto Para(%)" dataDxfId="156" dataCellStyle="Porcentagem"/>
    <tableColumn id="20" name="PARA" dataDxfId="155" dataCellStyle="Moeda">
      <calculatedColumnFormula>tb_preco_ML[[#This Row],[Preço Cadastro DE]]-(tb_preco_ML[[#This Row],[Preço Cadastro DE]]*tb_preco_ML[[#This Row],[Desconto Para(%)]])</calculatedColumnFormula>
    </tableColumn>
    <tableColumn id="8" name="Imposto (Nfe)" dataDxfId="154"/>
    <tableColumn id="21" name="Estratégia de Preço" dataDxfId="153" dataCellStyle="Porcentagem"/>
    <tableColumn id="7" name="Cupom (%)" dataDxfId="152">
      <calculatedColumnFormula>IFERROR(IF(OR(tb_preco_ML[[#This Row],[Estratégia de Preço]]="",tb_preco_ML[[#This Row],[Estratégia de Preço]]="Só DE/PARA",tb_preco_ML[[#This Row],[PARA]]=""),"",MAX(0,(tb_preco_ML[[#This Row],[PARA]]-IF(tb_preco_ML[[#This Row],[Estratégia de Preço]]=23%,tb_preco_ML[[#This Row],[23% DE MARGEM]],IF(tb_preco_ML[[#This Row],[Estratégia de Preço]]=17%,tb_preco_ML[[#This Row],[17% DE MARGEM]],IF(tb_preco_ML[[#This Row],[Estratégia de Preço]]=10%,tb_preco_ML[[#This Row],[10% DE MARGEM]],IF(tb_preco_ML[[#This Row],[Estratégia de Preço]]=0%,tb_preco_ML[[#This Row],[0% DE MARGEM]],tb_preco_ML[[#This Row],[PARA]])))))/tb_preco_ML[[#This Row],[PARA]])),"")</calculatedColumnFormula>
    </tableColumn>
    <tableColumn id="12" name="Preço alvo" dataDxfId="151" dataCellStyle="Moeda">
      <calculatedColumnFormula>IFERROR(IF(OR(tb_preco_ML[[#This Row],[Estratégia de Preço]]="",tb_preco_ML[[#This Row],[Estratégia de Preço]]="Só DE/PARA"),"",IF(tb_preco_ML[[#This Row],[Estratégia de Preço]]=35%,tb_preco_ML[[#This Row],[35% DE MARGEM]],IF(tb_preco_ML[[#This Row],[Estratégia de Preço]]=30%,tb_preco_ML[[#This Row],[30% DE MARGEM]],IF(tb_preco_ML[[#This Row],[Estratégia de Preço]]=23%,tb_preco_ML[[#This Row],[23% DE MARGEM]],IF(tb_preco_ML[[#This Row],[Estratégia de Preço]]=17%,tb_preco_ML[[#This Row],[17% DE MARGEM]],IF(tb_preco_ML[[#This Row],[Estratégia de Preço]]=10%,tb_preco_ML[[#This Row],[10% DE MARGEM]],IF(tb_preco_ML[[#This Row],[Estratégia de Preço]]=0%,tb_preco_ML[[#This Row],[0% DE MARGEM]],""))))))),"")</calculatedColumnFormula>
    </tableColumn>
    <tableColumn id="4" name="Taxa de Categoria" dataDxfId="150" dataCellStyle="Porcentagem"/>
    <tableColumn id="10" name="Frete base" dataDxfId="149" dataCellStyle="Moeda">
      <calculatedColumnFormula>IFERROR(IF(OR(tb_preco_ML[[#This Row],[Peso]]="",IF(tb_preco_ML[[#This Row],[PARA]]="",tb_preco_ML[[#This Row],[Preço Cadastro DE]],tb_preco_ML[[#This Row],[PARA]])=""),"",IF(IF(tb_preco_ML[[#This Row],[PARA]]="",tb_preco_ML[[#This Row],[Preço Cadastro DE]],tb_preco_ML[[#This Row],[PARA]])&lt;=18.99,VLOOKUP(tb_preco_ML[[#This Row],[Peso]],tb_peso_frete[],2,FALSE),IF(IF(tb_preco_ML[[#This Row],[PARA]]="",tb_preco_ML[[#This Row],[Preço Cadastro DE]],tb_preco_ML[[#This Row],[PARA]])&lt;=48.99,VLOOKUP(tb_preco_ML[[#This Row],[Peso]],tb_peso_frete[],3,FALSE),IF(IF(tb_preco_ML[[#This Row],[PARA]]="",tb_preco_ML[[#This Row],[Preço Cadastro DE]],tb_preco_ML[[#This Row],[PARA]])&lt;=78.99,VLOOKUP(tb_preco_ML[[#This Row],[Peso]],tb_peso_frete[],4,FALSE),IF(IF(tb_preco_ML[[#This Row],[PARA]]="",tb_preco_ML[[#This Row],[Preço Cadastro DE]],tb_preco_ML[[#This Row],[PARA]])&lt;=99.99,VLOOKUP(tb_preco_ML[[#This Row],[Peso]],tb_peso_frete[],5,FALSE),IF(IF(tb_preco_ML[[#This Row],[PARA]]="",tb_preco_ML[[#This Row],[Preço Cadastro DE]],tb_preco_ML[[#This Row],[PARA]])&lt;=119.99,VLOOKUP(tb_preco_ML[[#This Row],[Peso]],tb_peso_frete[],6,FALSE),IF(IF(tb_preco_ML[[#This Row],[PARA]]="",tb_preco_ML[[#This Row],[Preço Cadastro DE]],tb_preco_ML[[#This Row],[PARA]])&lt;=149.99,VLOOKUP(tb_preco_ML[[#This Row],[Peso]],tb_peso_frete[],7,FALSE),IF(IF(tb_preco_ML[[#This Row],[PARA]]="",tb_preco_ML[[#This Row],[Preço Cadastro DE]],tb_preco_ML[[#This Row],[PARA]])&lt;=199.99,VLOOKUP(tb_preco_ML[[#This Row],[Peso]],tb_peso_frete[],8,FALSE),VLOOKUP(tb_preco_ML[[#This Row],[Peso]],tb_peso_frete[],9,FALSE))))))))),"")</calculatedColumnFormula>
    </tableColumn>
    <tableColumn id="37" name="Frete após Desconto" dataDxfId="148" dataCellStyle="Porcentagem">
      <calculatedColumnFormula>IFERROR(IF(OR(tb_preco_ML[[#This Row],[Peso]]="",IF(tb_preco_ML[[#This Row],[Preço alvo]]="",tb_preco_ML[[#This Row],[PARA]],tb_preco_ML[[#This Row],[Preço alvo]])=""),"",IF(IF(tb_preco_ML[[#This Row],[Preço alvo]]="",tb_preco_ML[[#This Row],[PARA]],tb_preco_ML[[#This Row],[Preço alvo]])&lt;=18.99,VLOOKUP(tb_preco_ML[[#This Row],[Peso]],tb_peso_frete[],2,FALSE),IF(IF(tb_preco_ML[[#This Row],[Preço alvo]]="",tb_preco_ML[[#This Row],[PARA]],tb_preco_ML[[#This Row],[Preço alvo]])&lt;=48.99,VLOOKUP(tb_preco_ML[[#This Row],[Peso]],tb_peso_frete[],3,FALSE),IF(IF(tb_preco_ML[[#This Row],[Preço alvo]]="",tb_preco_ML[[#This Row],[PARA]],tb_preco_ML[[#This Row],[Preço alvo]])&lt;=78.99,VLOOKUP(tb_preco_ML[[#This Row],[Peso]],tb_peso_frete[],4,FALSE),IF(IF(tb_preco_ML[[#This Row],[Preço alvo]]="",tb_preco_ML[[#This Row],[PARA]],tb_preco_ML[[#This Row],[Preço alvo]])&lt;=99.99,VLOOKUP(tb_preco_ML[[#This Row],[Peso]],tb_peso_frete[],5,FALSE),IF(IF(tb_preco_ML[[#This Row],[Preço alvo]]="",tb_preco_ML[[#This Row],[PARA]],tb_preco_ML[[#This Row],[Preço alvo]])&lt;=119.99,VLOOKUP(tb_preco_ML[[#This Row],[Peso]],tb_peso_frete[],6,FALSE),IF(IF(tb_preco_ML[[#This Row],[Preço alvo]]="",tb_preco_ML[[#This Row],[PARA]],tb_preco_ML[[#This Row],[Preço alvo]])&lt;=149.99,VLOOKUP(tb_preco_ML[[#This Row],[Peso]],tb_peso_frete[],7,FALSE),IF(IF(tb_preco_ML[[#This Row],[Preço alvo]]="",tb_preco_ML[[#This Row],[PARA]],tb_preco_ML[[#This Row],[Preço alvo]])&lt;=199.99,VLOOKUP(tb_preco_ML[[#This Row],[Peso]],tb_peso_frete[],8,FALSE),VLOOKUP(tb_preco_ML[[#This Row],[Peso]],tb_peso_frete[],9,FALSE))))))))),"")</calculatedColumnFormula>
    </tableColumn>
    <tableColumn id="11" name="Margem de Contribuição" dataDxfId="147" dataCellStyle="Porcentagem">
      <calculatedColumnFormula>IFERROR(IF(IF(tb_preco_ML[[#This Row],[Preço alvo]]="",tb_preco_ML[[#This Row],[PARA]],tb_preco_ML[[#This Row],[Preço alvo]])="","-",tb_preco_ML[[#This Row],[Lucro por Unidade]]/IF(tb_preco_ML[[#This Row],[Preço alvo]]="",tb_preco_ML[[#This Row],[PARA]],tb_preco_ML[[#This Row],[Preço alvo]])),"-")</calculatedColumnFormula>
    </tableColumn>
    <tableColumn id="13" name="Lucro por Unidade" dataDxfId="146" dataCellStyle="Moeda">
      <calculatedColumnFormula>IFERROR(IF(OR(tb_preco_ML[[#This Row],[Custo Final]]="",tb_preco_ML[[#This Row],[Frete após Desconto]]="",tb_preco_ML[[#This Row],[Imposto (Nfe)]]="",tb_preco_ML[[#This Row],[Taxa de Categoria]]="",IF(tb_preco_ML[[#This Row],[Preço alvo]]="",tb_preco_ML[[#This Row],[PARA]],tb_preco_ML[[#This Row],[Preço alvo]])=""),"",IF(tb_preco_ML[[#This Row],[Preço alvo]]="",tb_preco_ML[[#This Row],[PARA]],tb_preco_ML[[#This Row],[Preço alvo]])-(IF(tb_preco_ML[[#This Row],[Preço alvo]]="",tb_preco_ML[[#This Row],[PARA]],tb_preco_ML[[#This Row],[Preço alvo]])*(tb_preco_ML[[#This Row],[Taxa de Categoria]]+tb_preco_ML[[#This Row],[Imposto (Nfe)]]))-tb_preco_ML[[#This Row],[Frete após Desconto]]-tb_preco_ML[[#This Row],[Custo Final]]),"")</calculatedColumnFormula>
    </tableColumn>
    <tableColumn id="14" name="35% DE MARGEM" dataDxfId="145" dataCellStyle="Porcentagem">
      <calculatedColumnFormula>IFERROR(IF(OR(tb_preco_ML[[#This Row],[Custo Final]]="",tb_preco_ML[[#This Row],[Imposto (Nfe)]]="",tb_preco_ML[[#This Row],[Taxa de Categoria]]="",tb_preco_ML[[#This Row],[Frete 35]]=""),"",ROUND((tb_preco_ML[[#This Row],[Custo Final]]+tb_preco_ML[[#This Row],[Frete 35]])/(1-tb_preco_ML[[#This Row],[Taxa de Categoria]]-tb_preco_ML[[#This Row],[Imposto (Nfe)]]-35%),2)),"")</calculatedColumnFormula>
    </tableColumn>
    <tableColumn id="6" name="30% DE MARGEM" dataDxfId="144" dataCellStyle="Porcentagem">
      <calculatedColumnFormula>IFERROR(IF(OR(tb_preco_ML[[#This Row],[Custo Final]]="",tb_preco_ML[[#This Row],[Imposto (Nfe)]]="",tb_preco_ML[[#This Row],[Taxa de Categoria]]="",tb_preco_ML[[#This Row],[Frete 30]]=""),"",ROUND((tb_preco_ML[[#This Row],[Custo Final]]+tb_preco_ML[[#This Row],[Frete 30]])/(1-tb_preco_ML[[#This Row],[Taxa de Categoria]]-tb_preco_ML[[#This Row],[Imposto (Nfe)]]-30%),2)),"")</calculatedColumnFormula>
    </tableColumn>
    <tableColumn id="5" name="23% DE MARGEM" dataDxfId="143" dataCellStyle="Porcentagem">
      <calculatedColumnFormula>IFERROR(IF(OR(tb_preco_ML[[#This Row],[Custo Final]]="",tb_preco_ML[[#This Row],[Imposto (Nfe)]]="",tb_preco_ML[[#This Row],[Taxa de Categoria]]="",tb_preco_ML[[#This Row],[Frete 23]]=""),"",ROUND((tb_preco_ML[[#This Row],[Custo Final]]+tb_preco_ML[[#This Row],[Frete 23]])/(1-tb_preco_ML[[#This Row],[Taxa de Categoria]]-tb_preco_ML[[#This Row],[Imposto (Nfe)]]-23%),2)),"")</calculatedColumnFormula>
    </tableColumn>
    <tableColumn id="16" name="17% DE MARGEM" dataDxfId="142" dataCellStyle="Porcentagem">
      <calculatedColumnFormula>IFERROR(IF(OR(tb_preco_ML[[#This Row],[Custo Final]]="",tb_preco_ML[[#This Row],[Imposto (Nfe)]]="",tb_preco_ML[[#This Row],[Taxa de Categoria]]="",tb_preco_ML[[#This Row],[Frete 17]]=""),"",ROUND((tb_preco_ML[[#This Row],[Custo Final]]+tb_preco_ML[[#This Row],[Frete 17]])/(1-tb_preco_ML[[#This Row],[Taxa de Categoria]]-tb_preco_ML[[#This Row],[Imposto (Nfe)]]-17%),2)),"")</calculatedColumnFormula>
    </tableColumn>
    <tableColumn id="19" name="10% DE MARGEM" dataDxfId="141" dataCellStyle="Porcentagem">
      <calculatedColumnFormula>IFERROR(IF(OR(tb_preco_ML[[#This Row],[Custo Final]]="",tb_preco_ML[[#This Row],[Imposto (Nfe)]]="",tb_preco_ML[[#This Row],[Taxa de Categoria]]="",tb_preco_ML[[#This Row],[Frete 10]]=""),"",ROUND((tb_preco_ML[[#This Row],[Custo Final]]+tb_preco_ML[[#This Row],[Frete 10]])/(1-tb_preco_ML[[#This Row],[Taxa de Categoria]]-tb_preco_ML[[#This Row],[Imposto (Nfe)]]-10%),2)),"")</calculatedColumnFormula>
    </tableColumn>
    <tableColumn id="17" name="0% DE MARGEM" dataDxfId="140" dataCellStyle="Porcentagem">
      <calculatedColumnFormula>IFERROR(IF(OR(tb_preco_ML[[#This Row],[Custo Final]]="",tb_preco_ML[[#This Row],[Imposto (Nfe)]]="",tb_preco_ML[[#This Row],[Taxa de Categoria]]="",tb_preco_ML[[#This Row],[Frete 0]]=""),"",ROUND((tb_preco_ML[[#This Row],[Custo Final]]+tb_preco_ML[[#This Row],[Frete 0]])/(1-tb_preco_ML[[#This Row],[Taxa de Categoria]]-tb_preco_ML[[#This Row],[Imposto (Nfe)]]),2)),"")</calculatedColumnFormula>
    </tableColumn>
    <tableColumn id="33" name="Base 35% sem frete" dataDxfId="139" dataCellStyle="Porcentagem">
      <calculatedColumnFormula>IFERROR(IF(OR(tb_preco_ML[[#This Row],[Custo Final]]="",tb_preco_ML[[#This Row],[Imposto (Nfe)]]="",tb_preco_ML[[#This Row],[Taxa de Categoria]]=""),"",tb_preco_ML[[#This Row],[Custo Final]]/(1-tb_preco_ML[[#This Row],[Taxa de Categoria]]-tb_preco_ML[[#This Row],[Imposto (Nfe)]]-35%)),"")</calculatedColumnFormula>
    </tableColumn>
    <tableColumn id="32" name="Faixa Frete 35%" dataDxfId="138" dataCellStyle="Porcentagem">
      <calculatedColumnFormula>IFERROR(IF(OR(tb_preco_ML[[#This Row],[Peso]]="",tb_preco_ML[[#This Row],[Custo Final]]="",tb_preco_ML[[#This Row],[Imposto (Nfe)]]="",tb_preco_ML[[#This Row],[Taxa de Categoria]]=""),"",IF((tb_preco_ML[[#This Row],[Custo Final]]+VLOOKUP(tb_preco_ML[[#This Row],[Peso]],tb_peso_frete[],2,FALSE))/(1-tb_preco_ML[[#This Row],[Taxa de Categoria]]-tb_preco_ML[[#This Row],[Imposto (Nfe)]]-35%)&lt;=18.99,"Faixa 1",IF(AND((tb_preco_ML[[#This Row],[Custo Final]]+VLOOKUP(tb_preco_ML[[#This Row],[Peso]],tb_peso_frete[],3,FALSE))/(1-tb_preco_ML[[#This Row],[Taxa de Categoria]]-tb_preco_ML[[#This Row],[Imposto (Nfe)]]-35%)&gt;=19,(tb_preco_ML[[#This Row],[Custo Final]]+VLOOKUP(tb_preco_ML[[#This Row],[Peso]],tb_peso_frete[],3,FALSE))/(1-tb_preco_ML[[#This Row],[Taxa de Categoria]]-tb_preco_ML[[#This Row],[Imposto (Nfe)]]-35%)&lt;=48.99),"Faixa 2",IF(AND((tb_preco_ML[[#This Row],[Custo Final]]+VLOOKUP(tb_preco_ML[[#This Row],[Peso]],tb_peso_frete[],4,FALSE))/(1-tb_preco_ML[[#This Row],[Taxa de Categoria]]-tb_preco_ML[[#This Row],[Imposto (Nfe)]]-35%)&gt;=49,(tb_preco_ML[[#This Row],[Custo Final]]+VLOOKUP(tb_preco_ML[[#This Row],[Peso]],tb_peso_frete[],4,FALSE))/(1-tb_preco_ML[[#This Row],[Taxa de Categoria]]-tb_preco_ML[[#This Row],[Imposto (Nfe)]]-35%)&lt;=78.99),"Faixa 3",IF(AND((tb_preco_ML[[#This Row],[Custo Final]]+VLOOKUP(tb_preco_ML[[#This Row],[Peso]],tb_peso_frete[],5,FALSE))/(1-tb_preco_ML[[#This Row],[Taxa de Categoria]]-tb_preco_ML[[#This Row],[Imposto (Nfe)]]-35%)&gt;=79,(tb_preco_ML[[#This Row],[Custo Final]]+VLOOKUP(tb_preco_ML[[#This Row],[Peso]],tb_peso_frete[],5,FALSE))/(1-tb_preco_ML[[#This Row],[Taxa de Categoria]]-tb_preco_ML[[#This Row],[Imposto (Nfe)]]-35%)&lt;=99.99),"Faixa 4",IF(AND((tb_preco_ML[[#This Row],[Custo Final]]+VLOOKUP(tb_preco_ML[[#This Row],[Peso]],tb_peso_frete[],6,FALSE))/(1-tb_preco_ML[[#This Row],[Taxa de Categoria]]-tb_preco_ML[[#This Row],[Imposto (Nfe)]]-35%)&gt;=100,(tb_preco_ML[[#This Row],[Custo Final]]+VLOOKUP(tb_preco_ML[[#This Row],[Peso]],tb_peso_frete[],6,FALSE))/(1-tb_preco_ML[[#This Row],[Taxa de Categoria]]-tb_preco_ML[[#This Row],[Imposto (Nfe)]]-35%)&lt;=119.99),"Faixa 5",IF(AND((tb_preco_ML[[#This Row],[Custo Final]]+VLOOKUP(tb_preco_ML[[#This Row],[Peso]],tb_peso_frete[],7,FALSE))/(1-tb_preco_ML[[#This Row],[Taxa de Categoria]]-tb_preco_ML[[#This Row],[Imposto (Nfe)]]-35%)&gt;=120,(tb_preco_ML[[#This Row],[Custo Final]]+VLOOKUP(tb_preco_ML[[#This Row],[Peso]],tb_peso_frete[],7,FALSE))/(1-tb_preco_ML[[#This Row],[Taxa de Categoria]]-tb_preco_ML[[#This Row],[Imposto (Nfe)]]-35%)&lt;=149.99),"Faixa 6",IF(AND((tb_preco_ML[[#This Row],[Custo Final]]+VLOOKUP(tb_preco_ML[[#This Row],[Peso]],tb_peso_frete[],8,FALSE))/(1-tb_preco_ML[[#This Row],[Taxa de Categoria]]-tb_preco_ML[[#This Row],[Imposto (Nfe)]]-35%)&gt;=150,(tb_preco_ML[[#This Row],[Custo Final]]+VLOOKUP(tb_preco_ML[[#This Row],[Peso]],tb_peso_frete[],8,FALSE))/(1-tb_preco_ML[[#This Row],[Taxa de Categoria]]-tb_preco_ML[[#This Row],[Imposto (Nfe)]]-35%)&lt;=199.99),"Faixa 7","Faixa 8")))))))),"")</calculatedColumnFormula>
    </tableColumn>
    <tableColumn id="23" name="Teste 35 F1" dataDxfId="137" dataCellStyle="Porcentagem">
      <calculatedColumnFormula>IFERROR(IF(OR(tb_preco_ML[[#This Row],[Peso]]="",tb_preco_ML[[#This Row],[Base 35% sem frete]]=""),"",tb_preco_ML[[#This Row],[Base 35% sem frete]]+VLOOKUP(tb_preco_ML[[#This Row],[Peso]],tb_peso_frete[],2,FALSE)),"")</calculatedColumnFormula>
    </tableColumn>
    <tableColumn id="24" name="Teste 35 F2" dataDxfId="136">
      <calculatedColumnFormula>IFERROR(IF(OR(tb_preco_ML[[#This Row],[Peso]]="",tb_preco_ML[[#This Row],[Base 35% sem frete]]=""),"",tb_preco_ML[[#This Row],[Base 35% sem frete]]+VLOOKUP(tb_preco_ML[[#This Row],[Peso]],tb_peso_frete[],3,FALSE)),"")</calculatedColumnFormula>
    </tableColumn>
    <tableColumn id="25" name="Teste 35 F3" dataDxfId="135">
      <calculatedColumnFormula>IFERROR(IF(OR(tb_preco_ML[[#This Row],[Peso]]="",tb_preco_ML[[#This Row],[Base 35% sem frete]]=""),"",tb_preco_ML[[#This Row],[Base 35% sem frete]]+VLOOKUP(tb_preco_ML[[#This Row],[Peso]],tb_peso_frete[],4,FALSE)),"")</calculatedColumnFormula>
    </tableColumn>
    <tableColumn id="26" name="Teste 35 F4" dataDxfId="134">
      <calculatedColumnFormula>IFERROR(IF(OR(tb_preco_ML[[#This Row],[Peso]]="",tb_preco_ML[[#This Row],[Base 35% sem frete]]=""),"",tb_preco_ML[[#This Row],[Base 35% sem frete]]+VLOOKUP(tb_preco_ML[[#This Row],[Peso]],tb_peso_frete[],5,FALSE)),"")</calculatedColumnFormula>
    </tableColumn>
    <tableColumn id="27" name="Teste 35 F5" dataDxfId="133">
      <calculatedColumnFormula>IFERROR(IF(OR(tb_preco_ML[[#This Row],[Peso]]="",tb_preco_ML[[#This Row],[Base 35% sem frete]]=""),"",tb_preco_ML[[#This Row],[Base 35% sem frete]]+VLOOKUP(tb_preco_ML[[#This Row],[Peso]],tb_peso_frete[],6,FALSE)),"")</calculatedColumnFormula>
    </tableColumn>
    <tableColumn id="28" name="Teste 35 F6" dataDxfId="132">
      <calculatedColumnFormula>IFERROR(IF(OR(tb_preco_ML[[#This Row],[Peso]]="",tb_preco_ML[[#This Row],[Base 35% sem frete]]=""),"",tb_preco_ML[[#This Row],[Base 35% sem frete]]+VLOOKUP(tb_preco_ML[[#This Row],[Peso]],tb_peso_frete[],7,FALSE)),"")</calculatedColumnFormula>
    </tableColumn>
    <tableColumn id="29" name="Teste 35 F7" dataDxfId="131">
      <calculatedColumnFormula>IFERROR(IF(OR(tb_preco_ML[[#This Row],[Peso]]="",tb_preco_ML[[#This Row],[Base 35% sem frete]]=""),"",tb_preco_ML[[#This Row],[Base 35% sem frete]]+VLOOKUP(tb_preco_ML[[#This Row],[Peso]],tb_peso_frete[],8,FALSE)),"")</calculatedColumnFormula>
    </tableColumn>
    <tableColumn id="30" name="Teste 35 F8" dataDxfId="130">
      <calculatedColumnFormula>IFERROR(IF(OR(tb_preco_ML[[#This Row],[Peso]]="",tb_preco_ML[[#This Row],[Base 35% sem frete]]=""),"",tb_preco_ML[[#This Row],[Base 35% sem frete]]+VLOOKUP(tb_preco_ML[[#This Row],[Peso]],tb_peso_frete[],9,FALSE)),"")</calculatedColumnFormula>
    </tableColumn>
    <tableColumn id="35" name="Preço para Frete" dataDxfId="129">
      <calculatedColumnFormula>IFERROR(IF(tb_preco_ML[[#This Row],[Preço alvo]]="",tb_preco_ML[[#This Row],[PARA]],tb_preco_ML[[#This Row],[Preço alvo]]),"")</calculatedColumnFormula>
    </tableColumn>
    <tableColumn id="94" name="Frete 35" dataDxfId="128" dataCellStyle="Porcentagem">
      <calculatedColumnFormula>IFERROR(IF(OR(tb_preco_ML[[#This Row],[Peso]]="",tb_preco_ML[[#This Row],[Faixa Frete 35%]]=""),"",VLOOKUP(tb_preco_ML[[#This Row],[Peso]],tb_peso_frete[],VALUE(RIGHT(tb_preco_ML[[#This Row],[Faixa Frete 35%]],1))+1,FALSE)),"")</calculatedColumnFormula>
    </tableColumn>
    <tableColumn id="36" name="Faixa Frete com Desconto" dataDxfId="127">
      <calculatedColumnFormula>IFERROR(IF(tb_preco_ML[[#This Row],[Preço para Frete]]="","",IF(tb_preco_ML[[#This Row],[Preço para Frete]]&lt;=18.99,"Faixa 1",IF(tb_preco_ML[[#This Row],[Preço para Frete]]&lt;=48.99,"Faixa 2",IF(tb_preco_ML[[#This Row],[Preço para Frete]]&lt;=78.99,"Faixa 3",IF(tb_preco_ML[[#This Row],[Preço para Frete]]&lt;=99.99,"Faixa 4",IF(tb_preco_ML[[#This Row],[Preço para Frete]]&lt;=119.99,"Faixa 5",IF(tb_preco_ML[[#This Row],[Preço para Frete]]&lt;=149.99,"Faixa 6",IF(tb_preco_ML[[#This Row],[Preço para Frete]]&lt;=199.99,"Faixa 7","Faixa 8")))))))),"")</calculatedColumnFormula>
    </tableColumn>
    <tableColumn id="88" name="Base 30% sem frete" dataDxfId="126" dataCellStyle="Porcentagem">
      <calculatedColumnFormula>IFERROR(IF(OR(tb_preco_ML[[#This Row],[Custo Final]]="",tb_preco_ML[[#This Row],[Imposto (Nfe)]]="",tb_preco_ML[[#This Row],[Taxa de Categoria]]=""),"",tb_preco_ML[[#This Row],[Custo Final]]/(1-tb_preco_ML[[#This Row],[Taxa de Categoria]]-tb_preco_ML[[#This Row],[Imposto (Nfe)]]-30%)),"")</calculatedColumnFormula>
    </tableColumn>
    <tableColumn id="38" name="Teste 30 F1" dataDxfId="125">
      <calculatedColumnFormula>IFERROR(IF(OR(tb_preco_ML[[#This Row],[Peso]]="",tb_preco_ML[[#This Row],[Base 30% sem frete]]=""),"",tb_preco_ML[[#This Row],[Base 30% sem frete]]+VLOOKUP(tb_preco_ML[[#This Row],[Peso]],tb_peso_frete[],2,FALSE)),"")</calculatedColumnFormula>
    </tableColumn>
    <tableColumn id="39" name="Teste 30 F2" dataDxfId="124">
      <calculatedColumnFormula>IFERROR(IF(OR(tb_preco_ML[[#This Row],[Peso]]="",tb_preco_ML[[#This Row],[Base 30% sem frete]]=""),"",tb_preco_ML[[#This Row],[Base 30% sem frete]]+VLOOKUP(tb_preco_ML[[#This Row],[Peso]],tb_peso_frete[],3,FALSE)),"")</calculatedColumnFormula>
    </tableColumn>
    <tableColumn id="40" name="Teste 30 F3" dataDxfId="123">
      <calculatedColumnFormula>IFERROR(IF(OR(tb_preco_ML[[#This Row],[Peso]]="",tb_preco_ML[[#This Row],[Base 30% sem frete]]=""),"",tb_preco_ML[[#This Row],[Base 30% sem frete]]+VLOOKUP(tb_preco_ML[[#This Row],[Peso]],tb_peso_frete[],4,FALSE)),"")</calculatedColumnFormula>
    </tableColumn>
    <tableColumn id="41" name="Teste 30 F4" dataDxfId="122">
      <calculatedColumnFormula>IFERROR(IF(OR(tb_preco_ML[[#This Row],[Peso]]="",tb_preco_ML[[#This Row],[Base 30% sem frete]]=""),"",tb_preco_ML[[#This Row],[Base 30% sem frete]]+VLOOKUP(tb_preco_ML[[#This Row],[Peso]],tb_peso_frete[],5,FALSE)),"")</calculatedColumnFormula>
    </tableColumn>
    <tableColumn id="42" name="Teste 30 F5" dataDxfId="121">
      <calculatedColumnFormula>IFERROR(IF(OR(tb_preco_ML[[#This Row],[Peso]]="",tb_preco_ML[[#This Row],[Base 30% sem frete]]=""),"",tb_preco_ML[[#This Row],[Base 30% sem frete]]+VLOOKUP(tb_preco_ML[[#This Row],[Peso]],tb_peso_frete[],6,FALSE)),"")</calculatedColumnFormula>
    </tableColumn>
    <tableColumn id="43" name="Teste 30 F6" dataDxfId="120">
      <calculatedColumnFormula>IFERROR(IF(OR(tb_preco_ML[[#This Row],[Peso]]="",tb_preco_ML[[#This Row],[Base 30% sem frete]]=""),"",tb_preco_ML[[#This Row],[Base 30% sem frete]]+VLOOKUP(tb_preco_ML[[#This Row],[Peso]],tb_peso_frete[],7,FALSE)),"")</calculatedColumnFormula>
    </tableColumn>
    <tableColumn id="44" name="Teste 30 F7" dataDxfId="119">
      <calculatedColumnFormula>IFERROR(IF(OR(tb_preco_ML[[#This Row],[Peso]]="",tb_preco_ML[[#This Row],[Base 30% sem frete]]=""),"",tb_preco_ML[[#This Row],[Base 30% sem frete]]+VLOOKUP(tb_preco_ML[[#This Row],[Peso]],tb_peso_frete[],8,FALSE)),"")</calculatedColumnFormula>
    </tableColumn>
    <tableColumn id="45" name="Teste 30 F8" dataDxfId="118">
      <calculatedColumnFormula>IFERROR(IF(OR(tb_preco_ML[[#This Row],[Peso]]="",tb_preco_ML[[#This Row],[Base 30% sem frete]]=""),"",tb_preco_ML[[#This Row],[Base 30% sem frete]]+VLOOKUP(tb_preco_ML[[#This Row],[Peso]],tb_peso_frete[],9,FALSE)),"")</calculatedColumnFormula>
    </tableColumn>
    <tableColumn id="78" name="Faixa teste 30" dataDxfId="117">
      <calculatedColumnFormula>IFERROR(IF(OR(tb_preco_ML[[#This Row],[Peso]]="",tb_preco_ML[[#This Row],[Custo Final]]="",tb_preco_ML[[#This Row],[Imposto (Nfe)]]="",tb_preco_ML[[#This Row],[Taxa de Categoria]]=""),"",IF((tb_preco_ML[[#This Row],[Custo Final]]+VLOOKUP(tb_preco_ML[[#This Row],[Peso]],tb_peso_frete[],2,FALSE))/(1-tb_preco_ML[[#This Row],[Taxa de Categoria]]-tb_preco_ML[[#This Row],[Imposto (Nfe)]]-30%)&lt;=18.99,"Faixa 1",IF(AND((tb_preco_ML[[#This Row],[Custo Final]]+VLOOKUP(tb_preco_ML[[#This Row],[Peso]],tb_peso_frete[],3,FALSE))/(1-tb_preco_ML[[#This Row],[Taxa de Categoria]]-tb_preco_ML[[#This Row],[Imposto (Nfe)]]-30%)&gt;=19,(tb_preco_ML[[#This Row],[Custo Final]]+VLOOKUP(tb_preco_ML[[#This Row],[Peso]],tb_peso_frete[],3,FALSE))/(1-tb_preco_ML[[#This Row],[Taxa de Categoria]]-tb_preco_ML[[#This Row],[Imposto (Nfe)]]-30%)&lt;=48.99),"Faixa 2",IF(AND((tb_preco_ML[[#This Row],[Custo Final]]+VLOOKUP(tb_preco_ML[[#This Row],[Peso]],tb_peso_frete[],4,FALSE))/(1-tb_preco_ML[[#This Row],[Taxa de Categoria]]-tb_preco_ML[[#This Row],[Imposto (Nfe)]]-30%)&gt;=49,(tb_preco_ML[[#This Row],[Custo Final]]+VLOOKUP(tb_preco_ML[[#This Row],[Peso]],tb_peso_frete[],4,FALSE))/(1-tb_preco_ML[[#This Row],[Taxa de Categoria]]-tb_preco_ML[[#This Row],[Imposto (Nfe)]]-30%)&lt;=78.99),"Faixa 3",IF(AND((tb_preco_ML[[#This Row],[Custo Final]]+VLOOKUP(tb_preco_ML[[#This Row],[Peso]],tb_peso_frete[],5,FALSE))/(1-tb_preco_ML[[#This Row],[Taxa de Categoria]]-tb_preco_ML[[#This Row],[Imposto (Nfe)]]-30%)&gt;=79,(tb_preco_ML[[#This Row],[Custo Final]]+VLOOKUP(tb_preco_ML[[#This Row],[Peso]],tb_peso_frete[],5,FALSE))/(1-tb_preco_ML[[#This Row],[Taxa de Categoria]]-tb_preco_ML[[#This Row],[Imposto (Nfe)]]-30%)&lt;=99.99),"Faixa 4",IF(AND((tb_preco_ML[[#This Row],[Custo Final]]+VLOOKUP(tb_preco_ML[[#This Row],[Peso]],tb_peso_frete[],6,FALSE))/(1-tb_preco_ML[[#This Row],[Taxa de Categoria]]-tb_preco_ML[[#This Row],[Imposto (Nfe)]]-30%)&gt;=100,(tb_preco_ML[[#This Row],[Custo Final]]+VLOOKUP(tb_preco_ML[[#This Row],[Peso]],tb_peso_frete[],6,FALSE))/(1-tb_preco_ML[[#This Row],[Taxa de Categoria]]-tb_preco_ML[[#This Row],[Imposto (Nfe)]]-30%)&lt;=119.99),"Faixa 5",IF(AND((tb_preco_ML[[#This Row],[Custo Final]]+VLOOKUP(tb_preco_ML[[#This Row],[Peso]],tb_peso_frete[],7,FALSE))/(1-tb_preco_ML[[#This Row],[Taxa de Categoria]]-tb_preco_ML[[#This Row],[Imposto (Nfe)]]-30%)&gt;=120,(tb_preco_ML[[#This Row],[Custo Final]]+VLOOKUP(tb_preco_ML[[#This Row],[Peso]],tb_peso_frete[],7,FALSE))/(1-tb_preco_ML[[#This Row],[Taxa de Categoria]]-tb_preco_ML[[#This Row],[Imposto (Nfe)]]-30%)&lt;=149.99),"Faixa 6",IF(AND((tb_preco_ML[[#This Row],[Custo Final]]+VLOOKUP(tb_preco_ML[[#This Row],[Peso]],tb_peso_frete[],8,FALSE))/(1-tb_preco_ML[[#This Row],[Taxa de Categoria]]-tb_preco_ML[[#This Row],[Imposto (Nfe)]]-30%)&gt;=150,(tb_preco_ML[[#This Row],[Custo Final]]+VLOOKUP(tb_preco_ML[[#This Row],[Peso]],tb_peso_frete[],8,FALSE))/(1-tb_preco_ML[[#This Row],[Taxa de Categoria]]-tb_preco_ML[[#This Row],[Imposto (Nfe)]]-30%)&lt;=199.99),"Faixa 7","Faixa 8")))))))),"")</calculatedColumnFormula>
    </tableColumn>
    <tableColumn id="79" name="Frete 30" dataDxfId="116">
      <calculatedColumnFormula>IFERROR(IF(OR(tb_preco_ML[[#This Row],[Peso]]="",tb_preco_ML[[#This Row],[Faixa teste 30]]=""),"",VLOOKUP(tb_preco_ML[[#This Row],[Peso]],tb_peso_frete[],VALUE(RIGHT(tb_preco_ML[[#This Row],[Faixa teste 30]],1))+1,FALSE)),"")</calculatedColumnFormula>
    </tableColumn>
    <tableColumn id="89" name="Base 23% sem frete" dataDxfId="115">
      <calculatedColumnFormula>IFERROR(IF(OR(tb_preco_ML[[#This Row],[Custo Final]]="",tb_preco_ML[[#This Row],[Imposto (Nfe)]]="",tb_preco_ML[[#This Row],[Taxa de Categoria]]=""),"",tb_preco_ML[[#This Row],[Custo Final]]/(1-tb_preco_ML[[#This Row],[Taxa de Categoria]]-tb_preco_ML[[#This Row],[Imposto (Nfe)]]-23%)),"")</calculatedColumnFormula>
    </tableColumn>
    <tableColumn id="46" name="Teste 23 F1" dataDxfId="114">
      <calculatedColumnFormula>IFERROR(IF(OR(tb_preco_ML[[#This Row],[Peso]]="",tb_preco_ML[[#This Row],[Base 23% sem frete]]=""),"",tb_preco_ML[[#This Row],[Base 23% sem frete]]+VLOOKUP(tb_preco_ML[[#This Row],[Peso]],tb_peso_frete[],2,FALSE)),"")</calculatedColumnFormula>
    </tableColumn>
    <tableColumn id="47" name="Teste 23 F2" dataDxfId="113">
      <calculatedColumnFormula>IFERROR(IF(OR(tb_preco_ML[[#This Row],[Peso]]="",tb_preco_ML[[#This Row],[Base 23% sem frete]]=""),"",tb_preco_ML[[#This Row],[Base 23% sem frete]]+VLOOKUP(tb_preco_ML[[#This Row],[Peso]],tb_peso_frete[],3,FALSE)),"")</calculatedColumnFormula>
    </tableColumn>
    <tableColumn id="48" name="Teste 23 F3" dataDxfId="112">
      <calculatedColumnFormula>IFERROR(IF(OR(tb_preco_ML[[#This Row],[Peso]]="",tb_preco_ML[[#This Row],[Base 23% sem frete]]=""),"",tb_preco_ML[[#This Row],[Base 23% sem frete]]+VLOOKUP(tb_preco_ML[[#This Row],[Peso]],tb_peso_frete[],4,FALSE)),"")</calculatedColumnFormula>
    </tableColumn>
    <tableColumn id="49" name="Teste 23 F4" dataDxfId="111">
      <calculatedColumnFormula>IFERROR(IF(OR(tb_preco_ML[[#This Row],[Peso]]="",tb_preco_ML[[#This Row],[Base 23% sem frete]]=""),"",tb_preco_ML[[#This Row],[Base 23% sem frete]]+VLOOKUP(tb_preco_ML[[#This Row],[Peso]],tb_peso_frete[],5,FALSE)),"")</calculatedColumnFormula>
    </tableColumn>
    <tableColumn id="50" name="Teste 23 F5" dataDxfId="110">
      <calculatedColumnFormula>IFERROR(IF(OR(tb_preco_ML[[#This Row],[Peso]]="",tb_preco_ML[[#This Row],[Base 23% sem frete]]=""),"",tb_preco_ML[[#This Row],[Base 23% sem frete]]+VLOOKUP(tb_preco_ML[[#This Row],[Peso]],tb_peso_frete[],6,FALSE)),"")</calculatedColumnFormula>
    </tableColumn>
    <tableColumn id="51" name="Teste 23 F6" dataDxfId="109">
      <calculatedColumnFormula>IFERROR(IF(OR(tb_preco_ML[[#This Row],[Peso]]="",tb_preco_ML[[#This Row],[Base 23% sem frete]]=""),"",tb_preco_ML[[#This Row],[Base 23% sem frete]]+VLOOKUP(tb_preco_ML[[#This Row],[Peso]],tb_peso_frete[],7,FALSE)),"")</calculatedColumnFormula>
    </tableColumn>
    <tableColumn id="52" name="Teste 23 F7" dataDxfId="108">
      <calculatedColumnFormula>IFERROR(IF(OR(tb_preco_ML[[#This Row],[Peso]]="",tb_preco_ML[[#This Row],[Base 23% sem frete]]=""),"",tb_preco_ML[[#This Row],[Base 23% sem frete]]+VLOOKUP(tb_preco_ML[[#This Row],[Peso]],tb_peso_frete[],8,FALSE)),"")</calculatedColumnFormula>
    </tableColumn>
    <tableColumn id="53" name="Teste 23 F8" dataDxfId="107">
      <calculatedColumnFormula>IFERROR(IF(OR(tb_preco_ML[[#This Row],[Peso]]="",tb_preco_ML[[#This Row],[Base 23% sem frete]]=""),"",tb_preco_ML[[#This Row],[Base 23% sem frete]]+VLOOKUP(tb_preco_ML[[#This Row],[Peso]],tb_peso_frete[],9,FALSE)),"")</calculatedColumnFormula>
    </tableColumn>
    <tableColumn id="80" name="Faixa teste 23" dataDxfId="106">
      <calculatedColumnFormula>IFERROR(IF(OR(tb_preco_ML[[#This Row],[Peso]]="",tb_preco_ML[[#This Row],[Custo Final]]="",tb_preco_ML[[#This Row],[Imposto (Nfe)]]="",tb_preco_ML[[#This Row],[Taxa de Categoria]]=""),"",IF((tb_preco_ML[[#This Row],[Custo Final]]+VLOOKUP(tb_preco_ML[[#This Row],[Peso]],tb_peso_frete[],2,FALSE))/(1-tb_preco_ML[[#This Row],[Taxa de Categoria]]-tb_preco_ML[[#This Row],[Imposto (Nfe)]]-23%)&lt;=18.99,"Faixa 1",IF(AND((tb_preco_ML[[#This Row],[Custo Final]]+VLOOKUP(tb_preco_ML[[#This Row],[Peso]],tb_peso_frete[],3,FALSE))/(1-tb_preco_ML[[#This Row],[Taxa de Categoria]]-tb_preco_ML[[#This Row],[Imposto (Nfe)]]-23%)&gt;=19,(tb_preco_ML[[#This Row],[Custo Final]]+VLOOKUP(tb_preco_ML[[#This Row],[Peso]],tb_peso_frete[],3,FALSE))/(1-tb_preco_ML[[#This Row],[Taxa de Categoria]]-tb_preco_ML[[#This Row],[Imposto (Nfe)]]-23%)&lt;=48.99),"Faixa 2",IF(AND((tb_preco_ML[[#This Row],[Custo Final]]+VLOOKUP(tb_preco_ML[[#This Row],[Peso]],tb_peso_frete[],4,FALSE))/(1-tb_preco_ML[[#This Row],[Taxa de Categoria]]-tb_preco_ML[[#This Row],[Imposto (Nfe)]]-23%)&gt;=49,(tb_preco_ML[[#This Row],[Custo Final]]+VLOOKUP(tb_preco_ML[[#This Row],[Peso]],tb_peso_frete[],4,FALSE))/(1-tb_preco_ML[[#This Row],[Taxa de Categoria]]-tb_preco_ML[[#This Row],[Imposto (Nfe)]]-23%)&lt;=78.99),"Faixa 3",IF(AND((tb_preco_ML[[#This Row],[Custo Final]]+VLOOKUP(tb_preco_ML[[#This Row],[Peso]],tb_peso_frete[],5,FALSE))/(1-tb_preco_ML[[#This Row],[Taxa de Categoria]]-tb_preco_ML[[#This Row],[Imposto (Nfe)]]-23%)&gt;=79,(tb_preco_ML[[#This Row],[Custo Final]]+VLOOKUP(tb_preco_ML[[#This Row],[Peso]],tb_peso_frete[],5,FALSE))/(1-tb_preco_ML[[#This Row],[Taxa de Categoria]]-tb_preco_ML[[#This Row],[Imposto (Nfe)]]-23%)&lt;=99.99),"Faixa 4",IF(AND((tb_preco_ML[[#This Row],[Custo Final]]+VLOOKUP(tb_preco_ML[[#This Row],[Peso]],tb_peso_frete[],6,FALSE))/(1-tb_preco_ML[[#This Row],[Taxa de Categoria]]-tb_preco_ML[[#This Row],[Imposto (Nfe)]]-23%)&gt;=100,(tb_preco_ML[[#This Row],[Custo Final]]+VLOOKUP(tb_preco_ML[[#This Row],[Peso]],tb_peso_frete[],6,FALSE))/(1-tb_preco_ML[[#This Row],[Taxa de Categoria]]-tb_preco_ML[[#This Row],[Imposto (Nfe)]]-23%)&lt;=119.99),"Faixa 5",IF(AND((tb_preco_ML[[#This Row],[Custo Final]]+VLOOKUP(tb_preco_ML[[#This Row],[Peso]],tb_peso_frete[],7,FALSE))/(1-tb_preco_ML[[#This Row],[Taxa de Categoria]]-tb_preco_ML[[#This Row],[Imposto (Nfe)]]-23%)&gt;=120,(tb_preco_ML[[#This Row],[Custo Final]]+VLOOKUP(tb_preco_ML[[#This Row],[Peso]],tb_peso_frete[],7,FALSE))/(1-tb_preco_ML[[#This Row],[Taxa de Categoria]]-tb_preco_ML[[#This Row],[Imposto (Nfe)]]-23%)&lt;=149.99),"Faixa 6",IF(AND((tb_preco_ML[[#This Row],[Custo Final]]+VLOOKUP(tb_preco_ML[[#This Row],[Peso]],tb_peso_frete[],8,FALSE))/(1-tb_preco_ML[[#This Row],[Taxa de Categoria]]-tb_preco_ML[[#This Row],[Imposto (Nfe)]]-23%)&gt;=150,(tb_preco_ML[[#This Row],[Custo Final]]+VLOOKUP(tb_preco_ML[[#This Row],[Peso]],tb_peso_frete[],8,FALSE))/(1-tb_preco_ML[[#This Row],[Taxa de Categoria]]-tb_preco_ML[[#This Row],[Imposto (Nfe)]]-23%)&lt;=199.99),"Faixa 7","Faixa 8")))))))),"")</calculatedColumnFormula>
    </tableColumn>
    <tableColumn id="81" name="Frete 23" dataDxfId="105">
      <calculatedColumnFormula>IFERROR(IF(OR(tb_preco_ML[[#This Row],[Peso]]="",tb_preco_ML[[#This Row],[Faixa teste 23]]=""),"",VLOOKUP(tb_preco_ML[[#This Row],[Peso]],tb_peso_frete[],VALUE(RIGHT(tb_preco_ML[[#This Row],[Faixa teste 23]],1))+1,FALSE)),"")</calculatedColumnFormula>
    </tableColumn>
    <tableColumn id="91" name="Base 17% sem frete" dataDxfId="104">
      <calculatedColumnFormula>IFERROR(IF(OR(tb_preco_ML[[#This Row],[Custo Final]]="",tb_preco_ML[[#This Row],[Imposto (Nfe)]]="",tb_preco_ML[[#This Row],[Taxa de Categoria]]=""),"",tb_preco_ML[[#This Row],[Custo Final]]/(1-tb_preco_ML[[#This Row],[Taxa de Categoria]]-tb_preco_ML[[#This Row],[Imposto (Nfe)]]-17%)),"")</calculatedColumnFormula>
    </tableColumn>
    <tableColumn id="54" name="Teste 17 F1" dataDxfId="103">
      <calculatedColumnFormula>IFERROR(IF(OR(tb_preco_ML[[#This Row],[Peso]]="",tb_preco_ML[[#This Row],[Custo Final]]="",tb_preco_ML[[#This Row],[Imposto (Nfe)]]="",tb_preco_ML[[#This Row],[Taxa de Categoria]]=""),"",(tb_preco_ML[[#This Row],[Custo Final]]+VLOOKUP(tb_preco_ML[[#This Row],[Peso]],tb_peso_frete[],2,FALSE))/(1-tb_preco_ML[[#This Row],[Taxa de Categoria]]-tb_preco_ML[[#This Row],[Imposto (Nfe)]]-17%)),"")</calculatedColumnFormula>
    </tableColumn>
    <tableColumn id="55" name="Teste 17 F2" dataDxfId="102">
      <calculatedColumnFormula>IFERROR(IF(OR(tb_preco_ML[[#This Row],[Peso]]="",tb_preco_ML[[#This Row],[Custo Final]]="",tb_preco_ML[[#This Row],[Imposto (Nfe)]]="",tb_preco_ML[[#This Row],[Taxa de Categoria]]=""),"",(tb_preco_ML[[#This Row],[Custo Final]]+VLOOKUP(tb_preco_ML[[#This Row],[Peso]],tb_peso_frete[],3,FALSE))/(1-tb_preco_ML[[#This Row],[Taxa de Categoria]]-tb_preco_ML[[#This Row],[Imposto (Nfe)]]-17%)),"")</calculatedColumnFormula>
    </tableColumn>
    <tableColumn id="56" name="Teste 17 F3" dataDxfId="101">
      <calculatedColumnFormula>IFERROR(IF(OR(tb_preco_ML[[#This Row],[Peso]]="",tb_preco_ML[[#This Row],[Custo Final]]="",tb_preco_ML[[#This Row],[Imposto (Nfe)]]="",tb_preco_ML[[#This Row],[Taxa de Categoria]]=""),"",(tb_preco_ML[[#This Row],[Custo Final]]+VLOOKUP(tb_preco_ML[[#This Row],[Peso]],tb_peso_frete[],4,FALSE))/(1-tb_preco_ML[[#This Row],[Taxa de Categoria]]-tb_preco_ML[[#This Row],[Imposto (Nfe)]]-17%)),"")</calculatedColumnFormula>
    </tableColumn>
    <tableColumn id="57" name="Teste 17 F4" dataDxfId="100">
      <calculatedColumnFormula>IFERROR(IF(OR(tb_preco_ML[[#This Row],[Peso]]="",tb_preco_ML[[#This Row],[Custo Final]]="",tb_preco_ML[[#This Row],[Imposto (Nfe)]]="",tb_preco_ML[[#This Row],[Taxa de Categoria]]=""),"",(tb_preco_ML[[#This Row],[Custo Final]]+VLOOKUP(tb_preco_ML[[#This Row],[Peso]],tb_peso_frete[],5,FALSE))/(1-tb_preco_ML[[#This Row],[Taxa de Categoria]]-tb_preco_ML[[#This Row],[Imposto (Nfe)]]-17%)),"")</calculatedColumnFormula>
    </tableColumn>
    <tableColumn id="58" name="Teste 17 F5" dataDxfId="99">
      <calculatedColumnFormula>IFERROR(IF(OR(tb_preco_ML[[#This Row],[Peso]]="",tb_preco_ML[[#This Row],[Custo Final]]="",tb_preco_ML[[#This Row],[Imposto (Nfe)]]="",tb_preco_ML[[#This Row],[Taxa de Categoria]]=""),"",(tb_preco_ML[[#This Row],[Custo Final]]+VLOOKUP(tb_preco_ML[[#This Row],[Peso]],tb_peso_frete[],6,FALSE))/(1-tb_preco_ML[[#This Row],[Taxa de Categoria]]-tb_preco_ML[[#This Row],[Imposto (Nfe)]]-17%)),"")</calculatedColumnFormula>
    </tableColumn>
    <tableColumn id="59" name="Teste 17 F6" dataDxfId="98">
      <calculatedColumnFormula>IFERROR(IF(OR(tb_preco_ML[[#This Row],[Peso]]="",tb_preco_ML[[#This Row],[Custo Final]]="",tb_preco_ML[[#This Row],[Imposto (Nfe)]]="",tb_preco_ML[[#This Row],[Taxa de Categoria]]=""),"",(tb_preco_ML[[#This Row],[Custo Final]]+VLOOKUP(tb_preco_ML[[#This Row],[Peso]],tb_peso_frete[],7,FALSE))/(1-tb_preco_ML[[#This Row],[Taxa de Categoria]]-tb_preco_ML[[#This Row],[Imposto (Nfe)]]-17%)),"")</calculatedColumnFormula>
    </tableColumn>
    <tableColumn id="60" name="Teste 17 F7" dataDxfId="97">
      <calculatedColumnFormula>IFERROR(IF(OR(tb_preco_ML[[#This Row],[Peso]]="",tb_preco_ML[[#This Row],[Custo Final]]="",tb_preco_ML[[#This Row],[Imposto (Nfe)]]="",tb_preco_ML[[#This Row],[Taxa de Categoria]]=""),"",(tb_preco_ML[[#This Row],[Custo Final]]+VLOOKUP(tb_preco_ML[[#This Row],[Peso]],tb_peso_frete[],8,FALSE))/(1-tb_preco_ML[[#This Row],[Taxa de Categoria]]-tb_preco_ML[[#This Row],[Imposto (Nfe)]]-17%)),"")</calculatedColumnFormula>
    </tableColumn>
    <tableColumn id="61" name="Teste 17 F8" dataDxfId="96">
      <calculatedColumnFormula>IFERROR(IF(OR(tb_preco_ML[[#This Row],[Peso]]="",tb_preco_ML[[#This Row],[Custo Final]]="",tb_preco_ML[[#This Row],[Imposto (Nfe)]]="",tb_preco_ML[[#This Row],[Taxa de Categoria]]=""),"",(tb_preco_ML[[#This Row],[Custo Final]]+VLOOKUP(tb_preco_ML[[#This Row],[Peso]],tb_peso_frete[],9,FALSE))/(1-tb_preco_ML[[#This Row],[Taxa de Categoria]]-tb_preco_ML[[#This Row],[Imposto (Nfe)]]-17%)),"")</calculatedColumnFormula>
    </tableColumn>
    <tableColumn id="83" name="Faixa teste 17" dataDxfId="95">
      <calculatedColumnFormula>IFERROR(IF(OR(tb_preco_ML[[#This Row],[Peso]]="",tb_preco_ML[[#This Row],[Custo Final]]="",tb_preco_ML[[#This Row],[Imposto (Nfe)]]="",tb_preco_ML[[#This Row],[Taxa de Categoria]]=""),"",IF((tb_preco_ML[[#This Row],[Custo Final]]+VLOOKUP(tb_preco_ML[[#This Row],[Peso]],tb_peso_frete[],2,FALSE))/(1-tb_preco_ML[[#This Row],[Taxa de Categoria]]-tb_preco_ML[[#This Row],[Imposto (Nfe)]]-17%)&lt;=18.99,"Faixa 1",IF(AND((tb_preco_ML[[#This Row],[Custo Final]]+VLOOKUP(tb_preco_ML[[#This Row],[Peso]],tb_peso_frete[],3,FALSE))/(1-tb_preco_ML[[#This Row],[Taxa de Categoria]]-tb_preco_ML[[#This Row],[Imposto (Nfe)]]-17%)&gt;=19,(tb_preco_ML[[#This Row],[Custo Final]]+VLOOKUP(tb_preco_ML[[#This Row],[Peso]],tb_peso_frete[],3,FALSE))/(1-tb_preco_ML[[#This Row],[Taxa de Categoria]]-tb_preco_ML[[#This Row],[Imposto (Nfe)]]-17%)&lt;=48.99),"Faixa 2",IF(AND((tb_preco_ML[[#This Row],[Custo Final]]+VLOOKUP(tb_preco_ML[[#This Row],[Peso]],tb_peso_frete[],4,FALSE))/(1-tb_preco_ML[[#This Row],[Taxa de Categoria]]-tb_preco_ML[[#This Row],[Imposto (Nfe)]]-17%)&gt;=49,(tb_preco_ML[[#This Row],[Custo Final]]+VLOOKUP(tb_preco_ML[[#This Row],[Peso]],tb_peso_frete[],4,FALSE))/(1-tb_preco_ML[[#This Row],[Taxa de Categoria]]-tb_preco_ML[[#This Row],[Imposto (Nfe)]]-10%)&lt;=78.99),"Faixa 3",IF(AND((tb_preco_ML[[#This Row],[Custo Final]]+VLOOKUP(tb_preco_ML[[#This Row],[Peso]],tb_peso_frete[],5,FALSE))/(1-tb_preco_ML[[#This Row],[Taxa de Categoria]]-tb_preco_ML[[#This Row],[Imposto (Nfe)]]-17%)&gt;=79,(tb_preco_ML[[#This Row],[Custo Final]]+VLOOKUP(tb_preco_ML[[#This Row],[Peso]],tb_peso_frete[],5,FALSE))/(1-tb_preco_ML[[#This Row],[Taxa de Categoria]]-tb_preco_ML[[#This Row],[Imposto (Nfe)]]-17%)&lt;=99.99),"Faixa 4",IF(AND((tb_preco_ML[[#This Row],[Custo Final]]+VLOOKUP(tb_preco_ML[[#This Row],[Peso]],tb_peso_frete[],6,FALSE))/(1-tb_preco_ML[[#This Row],[Taxa de Categoria]]-tb_preco_ML[[#This Row],[Imposto (Nfe)]]-17%)&gt;=100,(tb_preco_ML[[#This Row],[Custo Final]]+VLOOKUP(tb_preco_ML[[#This Row],[Peso]],tb_peso_frete[],6,FALSE))/(1-tb_preco_ML[[#This Row],[Taxa de Categoria]]-tb_preco_ML[[#This Row],[Imposto (Nfe)]]-17%)&lt;=119.99),"Faixa 5",IF(AND((tb_preco_ML[[#This Row],[Custo Final]]+VLOOKUP(tb_preco_ML[[#This Row],[Peso]],tb_peso_frete[],7,FALSE))/(1-tb_preco_ML[[#This Row],[Taxa de Categoria]]-tb_preco_ML[[#This Row],[Imposto (Nfe)]]-17%)&gt;=120,(tb_preco_ML[[#This Row],[Custo Final]]+VLOOKUP(tb_preco_ML[[#This Row],[Peso]],tb_peso_frete[],7,FALSE))/(1-tb_preco_ML[[#This Row],[Taxa de Categoria]]-tb_preco_ML[[#This Row],[Imposto (Nfe)]]-17%)&lt;=149.99),"Faixa 6",IF(AND((tb_preco_ML[[#This Row],[Custo Final]]+VLOOKUP(tb_preco_ML[[#This Row],[Peso]],tb_peso_frete[],8,FALSE))/(1-tb_preco_ML[[#This Row],[Taxa de Categoria]]-tb_preco_ML[[#This Row],[Imposto (Nfe)]]-17%)&gt;=150,(tb_preco_ML[[#This Row],[Custo Final]]+VLOOKUP(tb_preco_ML[[#This Row],[Peso]],tb_peso_frete[],8,FALSE))/(1-tb_preco_ML[[#This Row],[Taxa de Categoria]]-tb_preco_ML[[#This Row],[Imposto (Nfe)]]-17%)&lt;=199.99),"Faixa 7","Faixa 8")))))))),"")</calculatedColumnFormula>
    </tableColumn>
    <tableColumn id="82" name="Frete 17" dataDxfId="94">
      <calculatedColumnFormula>IFERROR(IF(OR(tb_preco_ML[[#This Row],[Peso]]="",tb_preco_ML[[#This Row],[Faixa teste 17]]=""),"",VLOOKUP(tb_preco_ML[[#This Row],[Peso]],tb_peso_frete[],VALUE(RIGHT(tb_preco_ML[[#This Row],[Faixa teste 17]],1))+1,FALSE)),"")</calculatedColumnFormula>
    </tableColumn>
    <tableColumn id="92" name="Base 10% sem frete" dataDxfId="93">
      <calculatedColumnFormula>IFERROR(IF(OR(tb_preco_ML[[#This Row],[Custo Final]]="",tb_preco_ML[[#This Row],[Imposto (Nfe)]]="",tb_preco_ML[[#This Row],[Taxa de Categoria]]=""),"",tb_preco_ML[[#This Row],[Custo Final]]/(1-tb_preco_ML[[#This Row],[Taxa de Categoria]]-tb_preco_ML[[#This Row],[Imposto (Nfe)]]-10%)),"")</calculatedColumnFormula>
    </tableColumn>
    <tableColumn id="62" name="Teste 10 F1" dataDxfId="92">
      <calculatedColumnFormula>IFERROR(IF(OR(tb_preco_ML[[#This Row],[Peso]]="",tb_preco_ML[[#This Row],[Base 10% sem frete]]=""),"",tb_preco_ML[[#This Row],[Base 10% sem frete]]+VLOOKUP(tb_preco_ML[[#This Row],[Peso]],tb_peso_frete[],2,FALSE)),"")</calculatedColumnFormula>
    </tableColumn>
    <tableColumn id="63" name="Teste 10 F2" dataDxfId="91">
      <calculatedColumnFormula>IFERROR(IF(OR(tb_preco_ML[[#This Row],[Peso]]="",tb_preco_ML[[#This Row],[Base 10% sem frete]]=""),"",tb_preco_ML[[#This Row],[Base 10% sem frete]]+VLOOKUP(tb_preco_ML[[#This Row],[Peso]],tb_peso_frete[],3,FALSE)),"")</calculatedColumnFormula>
    </tableColumn>
    <tableColumn id="64" name="Teste 10 F3" dataDxfId="90">
      <calculatedColumnFormula>IFERROR(IF(OR(tb_preco_ML[[#This Row],[Peso]]="",tb_preco_ML[[#This Row],[Base 10% sem frete]]=""),"",tb_preco_ML[[#This Row],[Base 10% sem frete]]+VLOOKUP(tb_preco_ML[[#This Row],[Peso]],tb_peso_frete[],4,FALSE)),"")</calculatedColumnFormula>
    </tableColumn>
    <tableColumn id="65" name="Teste 10 F4" dataDxfId="89">
      <calculatedColumnFormula>IFERROR(IF(OR(tb_preco_ML[[#This Row],[Peso]]="",tb_preco_ML[[#This Row],[Base 10% sem frete]]=""),"",tb_preco_ML[[#This Row],[Base 10% sem frete]]+VLOOKUP(tb_preco_ML[[#This Row],[Peso]],tb_peso_frete[],5,FALSE)),"")</calculatedColumnFormula>
    </tableColumn>
    <tableColumn id="66" name="Teste 10 F5" dataDxfId="88">
      <calculatedColumnFormula>IFERROR(IF(OR(tb_preco_ML[[#This Row],[Peso]]="",tb_preco_ML[[#This Row],[Base 10% sem frete]]=""),"",tb_preco_ML[[#This Row],[Base 10% sem frete]]+VLOOKUP(tb_preco_ML[[#This Row],[Peso]],tb_peso_frete[],6,FALSE)),"")</calculatedColumnFormula>
    </tableColumn>
    <tableColumn id="67" name="Teste 10 F6" dataDxfId="87">
      <calculatedColumnFormula>IFERROR(IF(OR(tb_preco_ML[[#This Row],[Peso]]="",tb_preco_ML[[#This Row],[Base 10% sem frete]]=""),"",tb_preco_ML[[#This Row],[Base 10% sem frete]]+VLOOKUP(tb_preco_ML[[#This Row],[Peso]],tb_peso_frete[],7,FALSE)),"")</calculatedColumnFormula>
    </tableColumn>
    <tableColumn id="68" name="Teste 10 F7" dataDxfId="86">
      <calculatedColumnFormula>IFERROR(IF(OR(tb_preco_ML[[#This Row],[Peso]]="",tb_preco_ML[[#This Row],[Base 10% sem frete]]=""),"",tb_preco_ML[[#This Row],[Base 10% sem frete]]+VLOOKUP(tb_preco_ML[[#This Row],[Peso]],tb_peso_frete[],8,FALSE)),"")</calculatedColumnFormula>
    </tableColumn>
    <tableColumn id="69" name="Teste 10 F8" dataDxfId="85">
      <calculatedColumnFormula>IFERROR(IF(OR(tb_preco_ML[[#This Row],[Peso]]="",tb_preco_ML[[#This Row],[Base 10% sem frete]]=""),"",tb_preco_ML[[#This Row],[Base 10% sem frete]]+VLOOKUP(tb_preco_ML[[#This Row],[Peso]],tb_peso_frete[],9,FALSE)),"")</calculatedColumnFormula>
    </tableColumn>
    <tableColumn id="85" name="Faixa teste 10" dataDxfId="84">
      <calculatedColumnFormula>IFERROR(IF(OR(tb_preco_ML[[#This Row],[Peso]]="",tb_preco_ML[[#This Row],[Custo Final]]="",tb_preco_ML[[#This Row],[Imposto (Nfe)]]="",tb_preco_ML[[#This Row],[Taxa de Categoria]]=""),"",IF((tb_preco_ML[[#This Row],[Custo Final]]+VLOOKUP(tb_preco_ML[[#This Row],[Peso]],tb_peso_frete[],2,FALSE))/(1-tb_preco_ML[[#This Row],[Taxa de Categoria]]-tb_preco_ML[[#This Row],[Imposto (Nfe)]]-10%)&lt;=18.99,"Faixa 1",IF(AND((tb_preco_ML[[#This Row],[Custo Final]]+VLOOKUP(tb_preco_ML[[#This Row],[Peso]],tb_peso_frete[],3,FALSE))/(1-tb_preco_ML[[#This Row],[Taxa de Categoria]]-tb_preco_ML[[#This Row],[Imposto (Nfe)]]-10%)&gt;=19,(tb_preco_ML[[#This Row],[Custo Final]]+VLOOKUP(tb_preco_ML[[#This Row],[Peso]],tb_peso_frete[],3,FALSE))/(1-tb_preco_ML[[#This Row],[Taxa de Categoria]]-tb_preco_ML[[#This Row],[Imposto (Nfe)]]-10%)&lt;=48.99),"Faixa 2",IF(AND((tb_preco_ML[[#This Row],[Custo Final]]+VLOOKUP(tb_preco_ML[[#This Row],[Peso]],tb_peso_frete[],4,FALSE))/(1-tb_preco_ML[[#This Row],[Taxa de Categoria]]-tb_preco_ML[[#This Row],[Imposto (Nfe)]]-10%)&gt;=49,(tb_preco_ML[[#This Row],[Custo Final]]+VLOOKUP(tb_preco_ML[[#This Row],[Peso]],tb_peso_frete[],4,FALSE))/(1-tb_preco_ML[[#This Row],[Taxa de Categoria]]-tb_preco_ML[[#This Row],[Imposto (Nfe)]]-10%)&lt;=78.99),"Faixa 3",IF(AND((tb_preco_ML[[#This Row],[Custo Final]]+VLOOKUP(tb_preco_ML[[#This Row],[Peso]],tb_peso_frete[],5,FALSE))/(1-tb_preco_ML[[#This Row],[Taxa de Categoria]]-tb_preco_ML[[#This Row],[Imposto (Nfe)]]-10%)&gt;=79,(tb_preco_ML[[#This Row],[Custo Final]]+VLOOKUP(tb_preco_ML[[#This Row],[Peso]],tb_peso_frete[],5,FALSE))/(1-tb_preco_ML[[#This Row],[Taxa de Categoria]]-tb_preco_ML[[#This Row],[Imposto (Nfe)]]-10%)&lt;=99.99),"Faixa 4",IF(AND((tb_preco_ML[[#This Row],[Custo Final]]+VLOOKUP(tb_preco_ML[[#This Row],[Peso]],tb_peso_frete[],6,FALSE))/(1-tb_preco_ML[[#This Row],[Taxa de Categoria]]-tb_preco_ML[[#This Row],[Imposto (Nfe)]]-10%)&gt;=100,(tb_preco_ML[[#This Row],[Custo Final]]+VLOOKUP(tb_preco_ML[[#This Row],[Peso]],tb_peso_frete[],6,FALSE))/(1-tb_preco_ML[[#This Row],[Taxa de Categoria]]-tb_preco_ML[[#This Row],[Imposto (Nfe)]]-10%)&lt;=119.99),"Faixa 5",IF(AND((tb_preco_ML[[#This Row],[Custo Final]]+VLOOKUP(tb_preco_ML[[#This Row],[Peso]],tb_peso_frete[],7,FALSE))/(1-tb_preco_ML[[#This Row],[Taxa de Categoria]]-tb_preco_ML[[#This Row],[Imposto (Nfe)]]-10%)&gt;=120,(tb_preco_ML[[#This Row],[Custo Final]]+VLOOKUP(tb_preco_ML[[#This Row],[Peso]],tb_peso_frete[],7,FALSE))/(1-tb_preco_ML[[#This Row],[Taxa de Categoria]]-tb_preco_ML[[#This Row],[Imposto (Nfe)]]-10%)&lt;=149.99),"Faixa 6",IF(AND((tb_preco_ML[[#This Row],[Custo Final]]+VLOOKUP(tb_preco_ML[[#This Row],[Peso]],tb_peso_frete[],8,FALSE))/(1-tb_preco_ML[[#This Row],[Taxa de Categoria]]-tb_preco_ML[[#This Row],[Imposto (Nfe)]]-10%)&gt;=150,(tb_preco_ML[[#This Row],[Custo Final]]+VLOOKUP(tb_preco_ML[[#This Row],[Peso]],tb_peso_frete[],8,FALSE))/(1-tb_preco_ML[[#This Row],[Taxa de Categoria]]-tb_preco_ML[[#This Row],[Imposto (Nfe)]]-10%)&lt;=199.99),"Faixa 7","Faixa 8")))))))),"")</calculatedColumnFormula>
    </tableColumn>
    <tableColumn id="84" name="Frete 10" dataDxfId="83">
      <calculatedColumnFormula>IFERROR(IF(OR(tb_preco_ML[[#This Row],[Peso]]="",tb_preco_ML[[#This Row],[Faixa teste 10]]=""),"",VLOOKUP(tb_preco_ML[[#This Row],[Peso]],tb_peso_frete[],VALUE(RIGHT(tb_preco_ML[[#This Row],[Faixa teste 10]],1))+1,FALSE)),"")</calculatedColumnFormula>
    </tableColumn>
    <tableColumn id="93" name="Base 0% sem frete" dataDxfId="82">
      <calculatedColumnFormula>IFERROR(IF(OR(tb_preco_ML[[#This Row],[Custo Final]]="",tb_preco_ML[[#This Row],[Imposto (Nfe)]]="",tb_preco_ML[[#This Row],[Taxa de Categoria]]=""),"",tb_preco_ML[[#This Row],[Custo Final]]/(1-tb_preco_ML[[#This Row],[Taxa de Categoria]]-tb_preco_ML[[#This Row],[Imposto (Nfe)]])),"")</calculatedColumnFormula>
    </tableColumn>
    <tableColumn id="70" name="Teste 0 F1" dataDxfId="81">
      <calculatedColumnFormula>IFERROR(IF(OR(tb_preco_ML[[#This Row],[Peso]]="",tb_preco_ML[[#This Row],[Base 0% sem frete]]=""),"",tb_preco_ML[[#This Row],[Base 0% sem frete]]+VLOOKUP(tb_preco_ML[[#This Row],[Peso]],tb_peso_frete[],2,FALSE)),"")</calculatedColumnFormula>
    </tableColumn>
    <tableColumn id="71" name="Teste 0 F2" dataDxfId="80">
      <calculatedColumnFormula>IFERROR(IF(OR(tb_preco_ML[[#This Row],[Peso]]="",tb_preco_ML[[#This Row],[Base 0% sem frete]]=""),"",tb_preco_ML[[#This Row],[Base 0% sem frete]]+VLOOKUP(tb_preco_ML[[#This Row],[Peso]],tb_peso_frete[],3,FALSE)),"")</calculatedColumnFormula>
    </tableColumn>
    <tableColumn id="72" name="Teste 0 F3" dataDxfId="79">
      <calculatedColumnFormula>IFERROR(IF(OR(tb_preco_ML[[#This Row],[Peso]]="",tb_preco_ML[[#This Row],[Base 0% sem frete]]=""),"",tb_preco_ML[[#This Row],[Base 0% sem frete]]+VLOOKUP(tb_preco_ML[[#This Row],[Peso]],tb_peso_frete[],4,FALSE)),"")</calculatedColumnFormula>
    </tableColumn>
    <tableColumn id="73" name="Teste 0 F4" dataDxfId="78">
      <calculatedColumnFormula>IFERROR(IF(OR(tb_preco_ML[[#This Row],[Peso]]="",tb_preco_ML[[#This Row],[Base 0% sem frete]]=""),"",tb_preco_ML[[#This Row],[Base 0% sem frete]]+VLOOKUP(tb_preco_ML[[#This Row],[Peso]],tb_peso_frete[],5,FALSE)),"")</calculatedColumnFormula>
    </tableColumn>
    <tableColumn id="74" name="Teste 0 F5" dataDxfId="77">
      <calculatedColumnFormula>IFERROR(IF(OR(tb_preco_ML[[#This Row],[Peso]]="",tb_preco_ML[[#This Row],[Base 0% sem frete]]=""),"",tb_preco_ML[[#This Row],[Base 0% sem frete]]+VLOOKUP(tb_preco_ML[[#This Row],[Peso]],tb_peso_frete[],6,FALSE)),"")</calculatedColumnFormula>
    </tableColumn>
    <tableColumn id="75" name="Teste 0 F6" dataDxfId="76">
      <calculatedColumnFormula>IFERROR(IF(OR(tb_preco_ML[[#This Row],[Peso]]="",tb_preco_ML[[#This Row],[Base 0% sem frete]]=""),"",tb_preco_ML[[#This Row],[Base 0% sem frete]]+VLOOKUP(tb_preco_ML[[#This Row],[Peso]],tb_peso_frete[],7,FALSE)),"")</calculatedColumnFormula>
    </tableColumn>
    <tableColumn id="76" name="Teste 0 F7" dataDxfId="75">
      <calculatedColumnFormula>IFERROR(IF(OR(tb_preco_ML[[#This Row],[Peso]]="",tb_preco_ML[[#This Row],[Base 0% sem frete]]=""),"",tb_preco_ML[[#This Row],[Base 0% sem frete]]+VLOOKUP(tb_preco_ML[[#This Row],[Peso]],tb_peso_frete[],8,FALSE)),"")</calculatedColumnFormula>
    </tableColumn>
    <tableColumn id="77" name="Teste 0 F8" dataDxfId="74">
      <calculatedColumnFormula>IFERROR(IF(OR(tb_preco_ML[[#This Row],[Peso]]="",tb_preco_ML[[#This Row],[Base 0% sem frete]]=""),"",tb_preco_ML[[#This Row],[Base 0% sem frete]]+VLOOKUP(tb_preco_ML[[#This Row],[Peso]],tb_peso_frete[],9,FALSE)),"")</calculatedColumnFormula>
    </tableColumn>
    <tableColumn id="86" name="Faixa teste 0" dataDxfId="73">
      <calculatedColumnFormula>IFERROR(IF(OR(tb_preco_ML[[#This Row],[Peso]]="",tb_preco_ML[[#This Row],[Custo Final]]="",tb_preco_ML[[#This Row],[Imposto (Nfe)]]="",tb_preco_ML[[#This Row],[Taxa de Categoria]]=""),"",IF((tb_preco_ML[[#This Row],[Custo Final]]+VLOOKUP(tb_preco_ML[[#This Row],[Peso]],tb_peso_frete[],2,FALSE))/(1-tb_preco_ML[[#This Row],[Taxa de Categoria]]-tb_preco_ML[[#This Row],[Imposto (Nfe)]]-0%)&lt;=18.99,"Faixa 1",IF(AND((tb_preco_ML[[#This Row],[Custo Final]]+VLOOKUP(tb_preco_ML[[#This Row],[Peso]],tb_peso_frete[],3,FALSE))/(1-tb_preco_ML[[#This Row],[Taxa de Categoria]]-tb_preco_ML[[#This Row],[Imposto (Nfe)]]-0%)&gt;=19,(tb_preco_ML[[#This Row],[Custo Final]]+VLOOKUP(tb_preco_ML[[#This Row],[Peso]],tb_peso_frete[],3,FALSE))/(1-tb_preco_ML[[#This Row],[Taxa de Categoria]]-tb_preco_ML[[#This Row],[Imposto (Nfe)]]-0%)&lt;=48.99),"Faixa 2",IF(AND((tb_preco_ML[[#This Row],[Custo Final]]+VLOOKUP(tb_preco_ML[[#This Row],[Peso]],tb_peso_frete[],4,FALSE))/(1-tb_preco_ML[[#This Row],[Taxa de Categoria]]-tb_preco_ML[[#This Row],[Imposto (Nfe)]]-10%)&gt;=49,(tb_preco_ML[[#This Row],[Custo Final]]+VLOOKUP(tb_preco_ML[[#This Row],[Peso]],tb_peso_frete[],4,FALSE))/(1-tb_preco_ML[[#This Row],[Taxa de Categoria]]-tb_preco_ML[[#This Row],[Imposto (Nfe)]]-0%)&lt;=78.99),"Faixa 3",IF(AND((tb_preco_ML[[#This Row],[Custo Final]]+VLOOKUP(tb_preco_ML[[#This Row],[Peso]],tb_peso_frete[],5,FALSE))/(1-tb_preco_ML[[#This Row],[Taxa de Categoria]]-tb_preco_ML[[#This Row],[Imposto (Nfe)]]-0%)&gt;=79,(tb_preco_ML[[#This Row],[Custo Final]]+VLOOKUP(tb_preco_ML[[#This Row],[Peso]],tb_peso_frete[],5,FALSE))/(1-tb_preco_ML[[#This Row],[Taxa de Categoria]]-tb_preco_ML[[#This Row],[Imposto (Nfe)]]-0%)&lt;=99.99),"Faixa 4",IF(AND((tb_preco_ML[[#This Row],[Custo Final]]+VLOOKUP(tb_preco_ML[[#This Row],[Peso]],tb_peso_frete[],6,FALSE))/(1-tb_preco_ML[[#This Row],[Taxa de Categoria]]-tb_preco_ML[[#This Row],[Imposto (Nfe)]]-10%)&gt;=100,(tb_preco_ML[[#This Row],[Custo Final]]+VLOOKUP(tb_preco_ML[[#This Row],[Peso]],tb_peso_frete[],6,FALSE))/(1-tb_preco_ML[[#This Row],[Taxa de Categoria]]-tb_preco_ML[[#This Row],[Imposto (Nfe)]]-0%)&lt;=119.99),"Faixa 5",IF(AND((tb_preco_ML[[#This Row],[Custo Final]]+VLOOKUP(tb_preco_ML[[#This Row],[Peso]],tb_peso_frete[],7,FALSE))/(1-tb_preco_ML[[#This Row],[Taxa de Categoria]]-tb_preco_ML[[#This Row],[Imposto (Nfe)]]-0%)&gt;=120,(tb_preco_ML[[#This Row],[Custo Final]]+VLOOKUP(tb_preco_ML[[#This Row],[Peso]],tb_peso_frete[],7,FALSE))/(1-tb_preco_ML[[#This Row],[Taxa de Categoria]]-tb_preco_ML[[#This Row],[Imposto (Nfe)]]-10%)&lt;=149.99),"Faixa 6",IF(AND((tb_preco_ML[[#This Row],[Custo Final]]+VLOOKUP(tb_preco_ML[[#This Row],[Peso]],tb_peso_frete[],8,FALSE))/(1-tb_preco_ML[[#This Row],[Taxa de Categoria]]-tb_preco_ML[[#This Row],[Imposto (Nfe)]]-0%)&gt;=150,(tb_preco_ML[[#This Row],[Custo Final]]+VLOOKUP(tb_preco_ML[[#This Row],[Peso]],tb_peso_frete[],8,FALSE))/(1-tb_preco_ML[[#This Row],[Taxa de Categoria]]-tb_preco_ML[[#This Row],[Imposto (Nfe)]]-0%)&lt;=199.99),"Faixa 7","Faixa 8")))))))),"")</calculatedColumnFormula>
    </tableColumn>
    <tableColumn id="87" name="Frete 0" dataDxfId="72">
      <calculatedColumnFormula>IFERROR(IF(OR(tb_preco_ML[[#This Row],[Peso]]="",tb_preco_ML[[#This Row],[Faixa teste 0]]=""),"",VLOOKUP(tb_preco_ML[[#This Row],[Peso]],tb_peso_frete[],VALUE(RIGHT(tb_preco_ML[[#This Row],[Faixa teste 0]],1))+1,FALSE)),"")</calculatedColumnFormula>
    </tableColumn>
  </tableColumns>
  <tableStyleInfo showFirstColumn="0" showLastColumn="0" showRowStripes="1" showColumnStripes="1"/>
</table>
</file>

<file path=xl/tables/table3.xml><?xml version="1.0" encoding="utf-8"?>
<table xmlns="http://schemas.openxmlformats.org/spreadsheetml/2006/main" id="3" name="Tabela1" displayName="Tabela1" ref="A9:S11" headerRowCount="1" totalsRowShown="0" headerRowDxfId="71" dataDxfId="70">
  <autoFilter ref="A9:S11"/>
  <sortState ref="C10:R10">
    <sortCondition ref="D9:D10"/>
  </sortState>
  <tableColumns count="19">
    <tableColumn id="6" name="Loja" dataDxfId="69" dataCellStyle="Porcentagem">
      <calculatedColumnFormula>IF(Tabela1[[#This Row],[Prefixo]]="","",VLOOKUP(Tabela1[[#This Row],[Prefixo]],Auxiliar[],2,FALSE))</calculatedColumnFormula>
    </tableColumn>
    <tableColumn id="5" name="Prefixo" dataDxfId="68" dataCellStyle="Porcentagem">
      <calculatedColumnFormula>IF(Tabela1[[#This Row],[SKU]] =  "", "",IFERROR(LEFT(Tabela1[[#This Row],[SKU]],FIND(".",Tabela1[[#This Row],[SKU]])-1),Tabela1[[#This Row],[SKU]]))</calculatedColumnFormula>
    </tableColumn>
    <tableColumn id="9" name="SKU" dataDxfId="67"/>
    <tableColumn id="1" name="Produto" dataDxfId="66"/>
    <tableColumn id="3" name="Preço Custo" dataDxfId="65"/>
    <tableColumn id="2" name="Preço Cadastro DE" dataDxfId="64" dataCellStyle="Moeda"/>
    <tableColumn id="12" name="PARA" dataDxfId="63" dataCellStyle="Moeda">
      <calculatedColumnFormula>Tabela1[[#This Row],[Preço Cadastro DE]]-(Tabela1[[#This Row],[Preço Cadastro DE]]*5%)</calculatedColumnFormula>
    </tableColumn>
    <tableColumn id="14" name="Imposto (Nfe)" dataDxfId="62" dataCellStyle="Moeda"/>
    <tableColumn id="13" name="Estratégia de preço" dataDxfId="61" dataCellStyle="Porcentagem"/>
    <tableColumn id="4" name="Cupom(%)" dataDxfId="60" dataCellStyle="Porcentagem">
      <calculatedColumnFormula>IFERROR(IF(OR(Tabela1[[#This Row],[Estratégia de preço]]="",Tabela1[[#This Row],[Estratégia de preço]]="Selecionar Estratégia",Tabela1[[#This Row],[PARA]]="",Tabela1[[#This Row],[Preço Alvo]]=""),"",MAX(0,(Tabela1[[#This Row],[PARA]]-Tabela1[[#This Row],[Preço Alvo]])/Tabela1[[#This Row],[PARA]])),"")</calculatedColumnFormula>
    </tableColumn>
    <tableColumn id="10" name="Preço Alvo" dataDxfId="59" dataCellStyle="Moeda">
      <calculatedColumnFormula>IFERROR(IF(OR(Tabela1[[#This Row],[Estratégia de preço]]="",Tabela1[[#This Row],[Estratégia de preço]]="Selecionar Estratégia"),"",IF(Tabela1[[#This Row],[Estratégia de preço]]=35%,Tabela1[[#This Row],[35% de contribuição]],IF(Tabela1[[#This Row],[Estratégia de preço]]=30%,Tabela1[[#This Row],[30% de contribuição]],IF(Tabela1[[#This Row],[Estratégia de preço]]=23%,Tabela1[[#This Row],[23% de contribuição]],IF(Tabela1[[#This Row],[Estratégia de preço]]=17%,Tabela1[[#This Row],[17% de contribuição]],IF(Tabela1[[#This Row],[Estratégia de preço]]=10%,Tabela1[[#This Row],[10% de contribuição]],IF(Tabela1[[#This Row],[Estratégia de preço]]=0%,Tabela1[[#This Row],[0% de contribuição]],""))))))),"")</calculatedColumnFormula>
    </tableColumn>
    <tableColumn id="11" name="Margem de Contribuição" dataDxfId="58" dataCellStyle="Porcentagem">
      <calculatedColumnFormula>IF(Tabela1[[#This Row],[Cupom(%)]]="",
IFERROR((Tabela1[[#This Row],[PARA]]*0.72-5-Tabela1[[#This Row],[Preço Custo]])/Tabela1[[#This Row],[PARA]],""),
IFERROR(((Tabela1[[#This Row],[PARA]]*(1-Tabela1[[#This Row],[Cupom(%)]]))*0.72-5-Tabela1[[#This Row],[Preço Custo]])/(Tabela1[[#This Row],[PARA]]*(1-Tabela1[[#This Row],[Cupom(%)]])),""))</calculatedColumnFormula>
    </tableColumn>
    <tableColumn id="15" name="Lucro por unidade" dataDxfId="57" dataCellStyle="Moeda">
      <calculatedColumnFormula>IF(OR(Tabela1[[#This Row],[Imposto (Nfe)]]="",IF(Tabela1[[#This Row],[Preço Alvo]]="",Tabela1[[#This Row],[PARA]],Tabela1[[#This Row],[Preço Alvo]])=""),"-",IF(Tabela1[[#This Row],[Preço Alvo]]="",Tabela1[[#This Row],[PARA]],Tabela1[[#This Row],[Preço Alvo]])-(IF(Tabela1[[#This Row],[Preço Alvo]]="",Tabela1[[#This Row],[PARA]],Tabela1[[#This Row],[Preço Alvo]])*(20%+Tabela1[[#This Row],[Imposto (Nfe)]]))-5-Tabela1[[#This Row],[Preço Custo]])</calculatedColumnFormula>
    </tableColumn>
    <tableColumn id="7" name="35% de contribuição" dataDxfId="56">
      <calculatedColumnFormula>IF(Tabela1[[#This Row],[Imposto (Nfe)]]="","-",(Tabela1[[#This Row],[Preço Custo]]+5)/(1-(20% + Tabela1[[#This Row],[Imposto (Nfe)]])-35%))</calculatedColumnFormula>
    </tableColumn>
    <tableColumn id="19" name="30% de contribuição" dataDxfId="55" dataCellStyle="Porcentagem">
      <calculatedColumnFormula>IF(Tabela1[[#This Row],[Imposto (Nfe)]]="","-",(Tabela1[[#This Row],[Preço Custo]]+5)/(1-(20% + Tabela1[[#This Row],[Imposto (Nfe)]])-30%))</calculatedColumnFormula>
    </tableColumn>
    <tableColumn id="16" name="23% de contribuição" dataDxfId="54" dataCellStyle="Porcentagem">
      <calculatedColumnFormula>IF(Tabela1[[#This Row],[Imposto (Nfe)]]="","-",(Tabela1[[#This Row],[Preço Custo]]+5)/(1-(20% + Tabela1[[#This Row],[Imposto (Nfe)]])-23%))</calculatedColumnFormula>
    </tableColumn>
    <tableColumn id="17" name="17% de contribuição" dataDxfId="53" dataCellStyle="Porcentagem">
      <calculatedColumnFormula>IF(Tabela1[[#This Row],[Imposto (Nfe)]]="","-",(Tabela1[[#This Row],[Preço Custo]]+5)/(1-(20% + Tabela1[[#This Row],[Imposto (Nfe)]])-17%))</calculatedColumnFormula>
    </tableColumn>
    <tableColumn id="18" name="10% de contribuição" dataDxfId="52" dataCellStyle="Porcentagem">
      <calculatedColumnFormula>IF(Tabela1[[#This Row],[Imposto (Nfe)]]="","-",(Tabela1[[#This Row],[Preço Custo]]+5)/(1-(20% + Tabela1[[#This Row],[Imposto (Nfe)]])-10%))</calculatedColumnFormula>
    </tableColumn>
    <tableColumn id="8" name="0% de contribuição" dataDxfId="51" dataCellStyle="Porcentagem">
      <calculatedColumnFormula>IF(Tabela1[[#This Row],[Imposto (Nfe)]]="","-",(Tabela1[[#This Row],[Preço Custo]]+5)/(1-(20% + Tabela1[[#This Row],[Imposto (Nfe)]])-0%))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Auxiliar" displayName="Auxiliar" ref="A9:B44" headerRowCount="1" totalsRowShown="0" headerRowDxfId="50">
  <autoFilter ref="A9:B44"/>
  <tableColumns count="2">
    <tableColumn id="1" name="Fornecedores/Clientes" dataDxfId="49"/>
    <tableColumn id="2" name="Loja" dataDxfId="4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_estrategias" displayName="tb_estrategias" ref="A45:A50" headerRowCount="1" totalsRowShown="0" headerRowDxfId="47">
  <autoFilter ref="A45:A50"/>
  <tableColumns count="1">
    <tableColumn id="1" name="Estratégi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_peso_frete" displayName="tb_peso_frete" ref="A57:I69" headerRowCount="1" totalsRowShown="0">
  <autoFilter ref="A57:I69"/>
  <tableColumns count="9">
    <tableColumn id="1" name="Peso"/>
    <tableColumn id="2" name="R$ 0 a R$ 18,99" dataDxfId="46"/>
    <tableColumn id="3" name="R$ 19 a R$ 48,99" dataDxfId="45"/>
    <tableColumn id="4" name="R$ 49 a R$ 78,99" dataDxfId="44"/>
    <tableColumn id="5" name="R$ 79 a R$ 99,99" dataDxfId="43"/>
    <tableColumn id="6" name="R$ 100 a R$ 119,99" dataDxfId="42"/>
    <tableColumn id="7" name="R$ 120 a R$ 149,99" dataDxfId="41"/>
    <tableColumn id="8" name="R$ 150 a R$ 199,99" dataDxfId="40"/>
    <tableColumn id="9" name="A partir de R$ 200" dataDxfId="39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id="7" name="categoria_ML" displayName="categoria_ML" ref="K56:K67" headerRowCount="1" totalsRowShown="0" dataDxfId="38">
  <autoFilter ref="K56:K67"/>
  <tableColumns count="1">
    <tableColumn id="1" name="Categoria (%)" dataDxfId="37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id="8" name="tb_faixas_shoppe" displayName="tb_faixas_shoppe" ref="A78:D83" headerRowCount="1" totalsRowShown="0" headerRowDxfId="36" dataDxfId="35">
  <autoFilter ref="A78:D83"/>
  <tableColumns count="4">
    <tableColumn id="1" name="Faixa" dataDxfId="34"/>
    <tableColumn id="2" name="Preço até" dataDxfId="33"/>
    <tableColumn id="3" name="Taxa %" dataDxfId="32"/>
    <tableColumn id="4" name="Taxa fixa" dataDxfId="31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id="9" name="tb_desconto_de_para" displayName="tb_desconto_de_para" ref="C45:D52" headerRowCount="1">
  <autoFilter ref="C45:D52"/>
  <tableColumns count="2">
    <tableColumn id="3" name="Desc DE→PARA"/>
    <tableColumn id="4" name="% Valor"/>
  </tableColumns>
  <tableStyleInfo name="TableStyleLight9" showRow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Relationship Type="http://schemas.openxmlformats.org/officeDocument/2006/relationships/table" Target="/xl/tables/table7.xml" Id="rId4"/><Relationship Type="http://schemas.openxmlformats.org/officeDocument/2006/relationships/table" Target="/xl/tables/table8.xml" Id="rId5"/><Relationship Type="http://schemas.openxmlformats.org/officeDocument/2006/relationships/table" Target="/xl/tables/table9.xm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50" customHeight="1">
      <c r="A1" s="143" t="inlineStr">
        <is>
          <t>📊  PRECIFICAÇÃO MARKETPLACES 2026</t>
        </is>
      </c>
    </row>
    <row r="2" ht="18" customHeight="1">
      <c r="A2" s="144" t="inlineStr">
        <is>
          <t>v6 · Erros BS10 e CO10 corrigidos · Dropdowns de estratégia e taxa · % DE→PARA personalizável em todos os canais</t>
        </is>
      </c>
    </row>
    <row r="3" ht="12" customHeight="1"/>
    <row r="4" ht="38" customHeight="1">
      <c r="A4" s="145" t="inlineStr">
        <is>
          <t>🛍  SHOPEE</t>
        </is>
      </c>
      <c r="E4" s="146" t="inlineStr">
        <is>
          <t>🛒  MERCADO LIVRE</t>
        </is>
      </c>
      <c r="I4" s="147" t="inlineStr">
        <is>
          <t>👗  SHEIN</t>
        </is>
      </c>
    </row>
    <row r="5" ht="22" customHeight="1">
      <c r="A5" s="148" t="inlineStr">
        <is>
          <t>Aba: Shoppe</t>
        </is>
      </c>
      <c r="E5" s="149" t="inlineStr">
        <is>
          <t>Aba: Mercado Livre</t>
        </is>
      </c>
      <c r="I5" s="150" t="inlineStr">
        <is>
          <t>Aba: Shein</t>
        </is>
      </c>
    </row>
    <row r="6" ht="12" customHeight="1"/>
    <row r="7" ht="22" customHeight="1">
      <c r="A7" s="151" t="inlineStr">
        <is>
          <t>✨  NOVIDADES NESTA VERSÃO</t>
        </is>
      </c>
    </row>
    <row r="8" ht="24" customHeight="1">
      <c r="A8" s="152" t="inlineStr">
        <is>
          <t>✅</t>
        </is>
      </c>
      <c r="B8" s="153" t="inlineStr">
        <is>
          <t>Erros corrigidos</t>
        </is>
      </c>
      <c r="D8" s="154" t="inlineStr">
        <is>
          <t>BS10 (Faixa 17% — divisor errado) e CO10 (Faixa 0% — 3 ocorrências) no Mercado Livre</t>
        </is>
      </c>
    </row>
    <row r="9" ht="24" customHeight="1">
      <c r="A9" s="155" t="inlineStr">
        <is>
          <t>🎯</t>
        </is>
      </c>
      <c r="B9" s="156" t="inlineStr">
        <is>
          <t>Dropdown Estratégia</t>
        </is>
      </c>
      <c r="D9" s="154" t="inlineStr">
        <is>
          <t>Todas as abas: lista automática a partir da tabela tb_estrategias no Auxiliar</t>
        </is>
      </c>
    </row>
    <row r="10" ht="24" customHeight="1">
      <c r="A10" s="155" t="inlineStr">
        <is>
          <t>🎯</t>
        </is>
      </c>
      <c r="B10" s="156" t="inlineStr">
        <is>
          <t>Dropdown Taxa Categoria</t>
        </is>
      </c>
      <c r="D10" s="154" t="inlineStr">
        <is>
          <t>Mercado Livre: lista automática da tabela categoria_ML no Auxiliar</t>
        </is>
      </c>
    </row>
    <row r="11" ht="24" customHeight="1">
      <c r="A11" s="157" t="inlineStr">
        <is>
          <t>💡</t>
        </is>
      </c>
      <c r="B11" s="158" t="inlineStr">
        <is>
          <t>% DE→PARA customizável</t>
        </is>
      </c>
      <c r="D11" s="154" t="inlineStr">
        <is>
          <t>Shopee e Shein: nova coluna com dropdown de desconto (0% a 30%) — PARA é calculado automaticamente</t>
        </is>
      </c>
    </row>
    <row r="12" ht="24" customHeight="1">
      <c r="A12" s="157" t="inlineStr">
        <is>
          <t>💡</t>
        </is>
      </c>
      <c r="B12" s="158" t="inlineStr">
        <is>
          <t>Config. Shein centralizada</t>
        </is>
      </c>
      <c r="D12" s="154" t="inlineStr">
        <is>
          <t>Comissão (20%) e taxa fixa (R$5) agora ficam na aba Auxiliar — altere lá e todas as fórmulas se atualizam</t>
        </is>
      </c>
    </row>
    <row r="13" ht="24" customHeight="1">
      <c r="A13" s="159" t="inlineStr">
        <is>
          <t>🔒</t>
        </is>
      </c>
      <c r="B13" s="160" t="inlineStr">
        <is>
          <t>Colunas auxiliares ocultas</t>
        </is>
      </c>
      <c r="D13" s="154" t="inlineStr">
        <is>
          <t>As 60+ colunas de trabalho do Mercado Livre foram ocultadas — dados preservados, visual limpo</t>
        </is>
      </c>
    </row>
    <row r="15" ht="22" customHeight="1">
      <c r="A15" s="161" t="inlineStr">
        <is>
          <t>🎨  LEGENDA DE CORES</t>
        </is>
      </c>
    </row>
    <row r="16" ht="20" customHeight="1">
      <c r="A16" s="162" t="inlineStr">
        <is>
          <t xml:space="preserve">  Resultado / Margem calculada</t>
        </is>
      </c>
      <c r="B16" s="163" t="n"/>
      <c r="D16" s="164" t="inlineStr">
        <is>
          <t xml:space="preserve">  Preços mínimos por margem alvo</t>
        </is>
      </c>
      <c r="E16" s="165" t="n"/>
      <c r="G16" s="166" t="inlineStr">
        <is>
          <t xml:space="preserve">  % DE→PARA / Desconto / Cupom</t>
        </is>
      </c>
      <c r="H16" s="167" t="n"/>
      <c r="J16" s="168" t="inlineStr">
        <is>
          <t xml:space="preserve">  Dados de entrada Shopee</t>
        </is>
      </c>
      <c r="K16" s="169" t="n"/>
    </row>
    <row r="17" ht="20" customHeight="1">
      <c r="A17" s="170" t="inlineStr">
        <is>
          <t xml:space="preserve">  Dados de entrada Mercado Livre</t>
        </is>
      </c>
      <c r="B17" s="171" t="n"/>
      <c r="D17" s="172" t="inlineStr">
        <is>
          <t xml:space="preserve">  Dados de entrada Shein</t>
        </is>
      </c>
      <c r="E17" s="173" t="n"/>
      <c r="G17" s="174" t="inlineStr">
        <is>
          <t xml:space="preserve">  Identificação do produto</t>
        </is>
      </c>
      <c r="H17" s="175" t="n"/>
    </row>
  </sheetData>
  <mergeCells count="29">
    <mergeCell ref="D12:M12"/>
    <mergeCell ref="D9:M9"/>
    <mergeCell ref="A15:N15"/>
    <mergeCell ref="D8:M8"/>
    <mergeCell ref="G17:H17"/>
    <mergeCell ref="B12:C12"/>
    <mergeCell ref="A1:N1"/>
    <mergeCell ref="A16:B16"/>
    <mergeCell ref="A5:C5"/>
    <mergeCell ref="B11:C11"/>
    <mergeCell ref="I5:K5"/>
    <mergeCell ref="A7:N7"/>
    <mergeCell ref="I4:K4"/>
    <mergeCell ref="D10:M10"/>
    <mergeCell ref="A4:C4"/>
    <mergeCell ref="B8:C8"/>
    <mergeCell ref="D17:E17"/>
    <mergeCell ref="B13:C13"/>
    <mergeCell ref="D16:E16"/>
    <mergeCell ref="J16:K16"/>
    <mergeCell ref="A2:N2"/>
    <mergeCell ref="B10:C10"/>
    <mergeCell ref="A17:B17"/>
    <mergeCell ref="B9:C9"/>
    <mergeCell ref="D11:M11"/>
    <mergeCell ref="D13:M13"/>
    <mergeCell ref="G16:H16"/>
    <mergeCell ref="E5:G5"/>
    <mergeCell ref="E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Planilha1">
    <tabColor theme="5" tint="-0.249977111117893"/>
    <outlinePr summaryBelow="1" summaryRight="1"/>
    <pageSetUpPr/>
  </sheetPr>
  <dimension ref="A1:V200"/>
  <sheetViews>
    <sheetView showGridLines="0" zoomScale="85" zoomScaleNormal="85" workbookViewId="0">
      <pane xSplit="4" ySplit="9" topLeftCell="E10" activePane="bottomRight" state="frozen"/>
      <selection pane="topRight"/>
      <selection pane="bottomLeft"/>
      <selection pane="bottomRight" activeCell="K17" sqref="K17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28" bestFit="1" customWidth="1" min="4" max="4"/>
    <col width="11" customWidth="1" min="5" max="5"/>
    <col width="13" customWidth="1" min="6" max="6"/>
    <col width="13" customWidth="1" min="7" max="7"/>
    <col width="13" customWidth="1" style="1" min="8" max="8"/>
    <col width="13" customWidth="1" min="9" max="9"/>
    <col width="9" customWidth="1" min="10" max="10"/>
    <col width="18" customWidth="1" min="11" max="11"/>
    <col width="12" customWidth="1" min="12" max="12"/>
    <col width="10" customWidth="1" min="13" max="13"/>
    <col width="10" customWidth="1" min="14" max="14"/>
    <col width="12" customWidth="1" min="15" max="15"/>
    <col width="12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30" customHeight="1">
      <c r="A1" s="176" t="inlineStr">
        <is>
          <t>🛍  SHOPEE — Tabela de Precificação 2026</t>
        </is>
      </c>
    </row>
    <row r="2" ht="16" customHeight="1">
      <c r="A2" s="177" t="inlineStr">
        <is>
          <t>Comissão por faixa automática · Imposto NFe · % DE→PARA personalizável · Estratégia de margem</t>
        </is>
      </c>
    </row>
    <row r="3" ht="5" customHeight="1">
      <c r="A3" s="178" t="n"/>
      <c r="B3" s="178" t="n"/>
      <c r="C3" s="178" t="n"/>
      <c r="D3" s="178" t="n"/>
      <c r="E3" s="178" t="n"/>
      <c r="F3" s="178" t="n"/>
      <c r="G3" s="178" t="n"/>
      <c r="H3" s="178" t="n"/>
      <c r="I3" s="178" t="n"/>
      <c r="J3" s="179" t="n"/>
      <c r="K3" s="178" t="n"/>
      <c r="L3" s="178" t="n"/>
      <c r="M3" s="178" t="n"/>
      <c r="N3" s="178" t="n"/>
      <c r="O3" s="178" t="n"/>
      <c r="P3" s="178" t="n"/>
      <c r="Q3" s="178" t="n"/>
      <c r="R3" s="178" t="n"/>
      <c r="S3" s="178" t="n"/>
      <c r="T3" s="178" t="n"/>
      <c r="U3" s="178" t="n"/>
      <c r="V3" s="178" t="n"/>
    </row>
    <row r="4">
      <c r="A4" s="9" t="n"/>
      <c r="B4" s="9" t="n"/>
      <c r="C4" s="9" t="n"/>
      <c r="D4" s="9" t="n"/>
      <c r="E4" s="9" t="n"/>
      <c r="F4" s="9" t="n"/>
      <c r="G4" s="9" t="n"/>
      <c r="J4" s="85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</row>
    <row r="5">
      <c r="A5" s="9" t="n"/>
      <c r="B5" s="9" t="n"/>
      <c r="C5" s="9" t="n"/>
      <c r="D5" s="9" t="n"/>
      <c r="E5" s="9" t="n"/>
      <c r="F5" s="9" t="n"/>
      <c r="G5" s="9" t="n"/>
      <c r="J5" s="85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</row>
    <row r="6">
      <c r="A6" s="9" t="n"/>
      <c r="B6" s="9" t="n"/>
      <c r="C6" s="9" t="n"/>
      <c r="D6" s="9" t="n"/>
      <c r="E6" s="9" t="n"/>
      <c r="F6" s="9" t="n"/>
      <c r="G6" s="9" t="n"/>
      <c r="J6" s="85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</row>
    <row r="7" ht="20" customHeight="1">
      <c r="A7" s="180" t="inlineStr">
        <is>
          <t>IDENTIFICAÇÃO</t>
        </is>
      </c>
      <c r="E7" s="181" t="inlineStr">
        <is>
          <t>CUSTO</t>
        </is>
      </c>
      <c r="F7" s="182" t="inlineStr">
        <is>
          <t>PREÇOS DE → PARA</t>
        </is>
      </c>
      <c r="J7" s="181" t="inlineStr">
        <is>
          <t>NFe</t>
        </is>
      </c>
      <c r="K7" s="180" t="inlineStr">
        <is>
          <t>ESTRATÉGIA</t>
        </is>
      </c>
      <c r="L7" s="183" t="inlineStr">
        <is>
          <t>ALVO / CUPOM</t>
        </is>
      </c>
      <c r="N7" s="181" t="inlineStr">
        <is>
          <t>FAIXA</t>
        </is>
      </c>
      <c r="O7" s="184" t="inlineStr">
        <is>
          <t>RESULTADO</t>
        </is>
      </c>
      <c r="Q7" s="185" t="inlineStr">
        <is>
          <t>PREÇOS MÍNIMOS POR MARGEM →</t>
        </is>
      </c>
    </row>
    <row r="8" ht="30.75" customFormat="1" customHeight="1" s="80">
      <c r="A8" s="94" t="n"/>
      <c r="B8" s="94" t="n"/>
      <c r="C8" s="95" t="inlineStr">
        <is>
          <t>INFO ?</t>
        </is>
      </c>
      <c r="D8" s="95" t="inlineStr">
        <is>
          <t>INFO ?</t>
        </is>
      </c>
      <c r="E8" s="94" t="n"/>
      <c r="F8" s="95" t="inlineStr">
        <is>
          <t>INFO ?</t>
        </is>
      </c>
      <c r="G8" s="94" t="n"/>
      <c r="J8" s="96" t="n"/>
      <c r="K8" s="95" t="inlineStr">
        <is>
          <t>INFO ?</t>
        </is>
      </c>
      <c r="L8" s="94" t="n"/>
      <c r="M8" s="95" t="inlineStr">
        <is>
          <t>INFO ?</t>
        </is>
      </c>
      <c r="N8" s="97" t="inlineStr">
        <is>
          <t>Tabela de taxa</t>
        </is>
      </c>
      <c r="O8" s="94" t="n"/>
      <c r="P8" s="94" t="n"/>
      <c r="Q8" s="94" t="n"/>
      <c r="R8" s="94" t="n"/>
      <c r="S8" s="94" t="n"/>
      <c r="T8" s="94" t="n"/>
      <c r="U8" s="94" t="n"/>
      <c r="V8" s="94" t="n"/>
    </row>
    <row r="9" ht="38" customFormat="1" customHeight="1" s="61">
      <c r="A9" s="186" t="inlineStr">
        <is>
          <t>Loja</t>
        </is>
      </c>
      <c r="B9" s="186" t="inlineStr">
        <is>
          <t>Prefixo</t>
        </is>
      </c>
      <c r="C9" s="186" t="inlineStr">
        <is>
          <t>SKU</t>
        </is>
      </c>
      <c r="D9" s="186" t="inlineStr">
        <is>
          <t>Produto</t>
        </is>
      </c>
      <c r="E9" s="187" t="inlineStr">
        <is>
          <t>Preço Custo</t>
        </is>
      </c>
      <c r="F9" s="188" t="inlineStr">
        <is>
          <t>Preço Cadastro DE</t>
        </is>
      </c>
      <c r="G9" s="188" t="inlineStr">
        <is>
          <t>PARA</t>
        </is>
      </c>
      <c r="H9" s="189" t="inlineStr">
        <is>
          <t>Desc. DE→PARA</t>
        </is>
      </c>
      <c r="I9" s="188" t="inlineStr">
        <is>
          <t>PARA Calculado</t>
        </is>
      </c>
      <c r="J9" s="187" t="inlineStr">
        <is>
          <t>Imposto (Nfe)</t>
        </is>
      </c>
      <c r="K9" s="186" t="inlineStr">
        <is>
          <t>Estratégia de preço</t>
        </is>
      </c>
      <c r="L9" s="190" t="inlineStr">
        <is>
          <t>Preço alvo</t>
        </is>
      </c>
      <c r="M9" s="190" t="inlineStr">
        <is>
          <t>Cupom (%)</t>
        </is>
      </c>
      <c r="N9" s="187" t="inlineStr">
        <is>
          <t>Taxa</t>
        </is>
      </c>
      <c r="O9" s="191" t="inlineStr">
        <is>
          <t>Margem de contribuição</t>
        </is>
      </c>
      <c r="P9" s="191" t="inlineStr">
        <is>
          <t>Lucro por unidade</t>
        </is>
      </c>
      <c r="Q9" s="192" t="inlineStr">
        <is>
          <t>35% de Contribuição</t>
        </is>
      </c>
      <c r="R9" s="192" t="inlineStr">
        <is>
          <t>30% de Contribuição</t>
        </is>
      </c>
      <c r="S9" s="193" t="inlineStr">
        <is>
          <t>23% de Contribuição</t>
        </is>
      </c>
      <c r="T9" s="193" t="inlineStr">
        <is>
          <t>17% de Contribuição</t>
        </is>
      </c>
      <c r="U9" s="194" t="inlineStr">
        <is>
          <t>10% de Contribuição</t>
        </is>
      </c>
      <c r="V9" s="194" t="inlineStr">
        <is>
          <t>0% de Contribuição</t>
        </is>
      </c>
    </row>
    <row r="10" ht="22" customHeight="1">
      <c r="A10" s="195">
        <f>IF(tb_preco_shp[[#This Row],[Prefixo]]="","",VLOOKUP(tb_preco_shp[[#This Row],[Prefixo]],Auxiliar[],2,FALSE))</f>
        <v/>
      </c>
      <c r="B10" s="196">
        <f>IF(tb_preco_shp[[#This Row],[SKU]] =  "", "",IFERROR(LEFT(tb_preco_shp[[#This Row],[SKU]],FIND(".",tb_preco_shp[[#This Row],[SKU]])-1),tb_preco_shp[[#This Row],[SKU]]))</f>
        <v/>
      </c>
      <c r="C10" s="197" t="inlineStr">
        <is>
          <t>SAMUE.101.2P</t>
        </is>
      </c>
      <c r="D10" s="197" t="inlineStr">
        <is>
          <t>Camisa manga curta luxo infantil</t>
        </is>
      </c>
      <c r="E10" s="198" t="n">
        <v>15</v>
      </c>
      <c r="F10" s="199" t="n">
        <v>51.35</v>
      </c>
      <c r="G10" s="200">
        <f>tb_preco_shp[[#This Row],[Preço Cadastro DE]]-(tb_preco_shp[[#This Row],[Preço Cadastro DE]]*5%)</f>
        <v/>
      </c>
      <c r="H10" s="201" t="n"/>
      <c r="I10" s="202">
        <f>IFERROR(IF(F10="","",IF(OR(H10="",H10=0),IF(G10="","",G10),ROUND(F10*(1-H10),2))),"")</f>
        <v/>
      </c>
      <c r="J10" s="203" t="n">
        <v>0.08</v>
      </c>
      <c r="K10" s="204" t="n">
        <v>0.23</v>
      </c>
      <c r="L10" s="205">
        <f>IFERROR(IF(tb_preco_shp[[#This Row],[Estratégia de preço]]="","",IF(TEXT(tb_preco_shp[[#This Row],[Estratégia de preço]],"0%")="23%",tb_preco_shp[[#This Row],[23% de Contribuição]],IF(TEXT(tb_preco_shp[[#This Row],[Estratégia de preço]],"0%")="17%",tb_preco_shp[[#This Row],[17% de Contribuição]],IF(TEXT(tb_preco_shp[[#This Row],[Estratégia de preço]],"0%")="10%",tb_preco_shp[[#This Row],[10% de Contribuição]],IF(TEXT(tb_preco_shp[[#This Row],[Estratégia de preço]],"0%")="0%",tb_preco_shp[[#This Row],[0% de Contribuição]],""))))),"")</f>
        <v/>
      </c>
      <c r="M10" s="206">
        <f>IFERROR(IF(tb_preco_shp[[#This Row],[Estratégia de preço]]="","",MAX(0,1-IF(TEXT(tb_preco_shp[[#This Row],[Estratégia de preço]],"0%")="23%",tb_preco_shp[[#This Row],[23% de Contribuição]]/tb_preco_shp[[#This Row],[Preço Cadastro DE]],IF(TEXT(tb_preco_shp[[#This Row],[Estratégia de preço]],"0%")="17%",tb_preco_shp[[#This Row],[17% de Contribuição]]/tb_preco_shp[[#This Row],[Preço Cadastro DE]],IF(TEXT(tb_preco_shp[[#This Row],[Estratégia de preço]],"0%")="10%",tb_preco_shp[[#This Row],[10% de Contribuição]]/tb_preco_shp[[#This Row],[Preço Cadastro DE]],IF(TEXT(tb_preco_shp[[#This Row],[Estratégia de preço]],"0%")="0%",tb_preco_shp[[#This Row],[0% de Contribuição]]/tb_preco_shp[[#This Row],[Preço Cadastro DE]],1)))))),"")</f>
        <v/>
      </c>
      <c r="N10" s="207">
        <f>IFERROR(IF(OR(tb_preco_shp[[#This Row],[Preço Custo]]="",tb_preco_shp[[#This Row],[Imposto (Nfe)]]="",IF(OR(tb_preco_shp[[#This Row],[Estratégia de preço]]="",tb_preco_shp[[#This Row],[Estratégia de preço]]="Só DE/PARA",tb_preco_shp[[#This Row],[Estratégia de preço]]="Só DE/PARA"),tb_preco_shp[[#This Row],[PARA]],tb_preco_shp[[#This Row],[Preço alvo]])=""),"",IF(IF(OR(tb_preco_shp[[#This Row],[Estratégia de preço]]="",tb_preco_shp[[#This Row],[Estratégia de preço]]="Só DE/PARA",tb_preco_shp[[#This Row],[Estratégia de preço]]="Só DE/PARA"),tb_preco_shp[[#This Row],[PARA]],tb_preco_shp[[#This Row],[Preço alvo]])&lt;=79.99,"Faixa 1",IF(IF(OR(tb_preco_shp[[#This Row],[Estratégia de preço]]="",tb_preco_shp[[#This Row],[Estratégia de preço]]="Só DE/PARA",tb_preco_shp[[#This Row],[Estratégia de preço]]="Só DE/PARA"),tb_preco_shp[[#This Row],[PARA]],tb_preco_shp[[#This Row],[Preço alvo]])&lt;=99.99,"Faixa 2",IF(IF(OR(tb_preco_shp[[#This Row],[Estratégia de preço]]="",tb_preco_shp[[#This Row],[Estratégia de preço]]="Só DE/PARA",tb_preco_shp[[#This Row],[Estratégia de preço]]="Só DE/PARA"),tb_preco_shp[[#This Row],[PARA]],tb_preco_shp[[#This Row],[Preço alvo]])&lt;=199.99,"Faixa 3",IF(IF(OR(tb_preco_shp[[#This Row],[Estratégia de preço]]="",tb_preco_shp[[#This Row],[Estratégia de preço]]="Só DE/PARA",tb_preco_shp[[#This Row],[Estratégia de preço]]="Só DE/PARA"),tb_preco_shp[[#This Row],[PARA]],tb_preco_shp[[#This Row],[Preço alvo]])&lt;=499.99,"Faixa 4","Faixa 5"))))),"")</f>
        <v/>
      </c>
      <c r="O10" s="208">
        <f>IFERROR(IF(OR(tb_preco_shp[[#This Row],[Preço Custo]]="",tb_preco_shp[[#This Row],[Imposto (Nfe)]]="",IF(OR(tb_preco_shp[[#This Row],[Estratégia de preço]]="",tb_preco_shp[[#This Row],[Estratégia de preço]]="Selecionar Estratégia",tb_preco_shp[[#This Row],[Estratégia de preço]]="Só DE/PARA"),tb_preco_shp[[#This Row],[PARA]],tb_preco_shp[[#This Row],[Preço alvo]])=""),"",(IF(OR(tb_preco_shp[[#This Row],[Estratégia de preço]]="",tb_preco_shp[[#This Row],[Estratégia de preço]]="Selecionar Estratégia",tb_preco_shp[[#This Row],[Estratégia de preço]]="Só DE/PARA"),tb_preco_shp[[#This Row],[PARA]],tb_preco_shp[[#This Row],[Preço alvo]])-((IF(OR(tb_preco_shp[[#This Row],[Estratégia de preço]]="",tb_preco_shp[[#This Row],[Estratégia de preço]]="Selecionar Estratégia",tb_preco_shp[[#This Row],[Estratégia de preço]]="Só DE/PARA"),tb_preco_shp[[#This Row],[PARA]],tb_preco_shp[[#This Row],[Preço alvo]])*(IF(IF(OR(tb_preco_shp[[#This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alvo]])&lt;=79.99,20%,14%)+tb_preco_shp[[#This Row],[Imposto (Nfe)]]))+IF(IF(OR(tb_preco_shp[[#This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alvo]])&lt;=79.99,4,IF(IF(OR(tb_preco_shp[[#This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alvo]])&lt;=99.99,16,IF(IF(OR(tb_preco_shp[[#This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alvo]])&lt;=199.99,20,IF(IF(OR(tb_preco_shp[[#This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alvo]])&lt;=499.99,26,28)))))-tb_preco_shp[[#This Row],[Preço Custo]])/IF(OR(tb_preco_shp[[#This Row],[Estratégia de preço]]="",tb_preco_shp[[#This Row],[Estratégia de preço]]="Selecionar Estratégia",tb_preco_shp[[#This Row],[Estratégia de preço]]="Só DE/PARA"),tb_preco_shp[[#This Row],[PARA]],tb_preco_shp[[#This Row],[Preço alvo]])),"")</f>
        <v/>
      </c>
      <c r="P10" s="209">
        <f>IFERROR(IF(OR(tb_preco_shp[[#This Row],[Preço Custo]]="",tb_preco_shp[[#This Row],[Imposto (Nfe)]]="",tb_preco_shp[[#This Row],[Taxa]]="",IF(OR(tb_preco_shp[[#This Row],[Estratégia de preço]]="",tb_preco_shp[[#This Row],[Estratégia de preço]]="Só DE/PARA"),tb_preco_shp[[#This Row],[PARA]],tb_preco_shp[[#This Row],[Preço alvo]])=""),"",IF(OR(tb_preco_shp[[#This Row],[Estratégia de preço]]="",tb_preco_shp[[#This Row],[Estratégia de preço]]="Só DE/PARA"),tb_preco_shp[[#This Row],[PARA]],tb_preco_shp[[#This Row],[Preço alvo]])-((IF(OR(tb_preco_shp[[#This Row],[Estratégia de preço]]="",tb_preco_shp[[#This Row],[Estratégia de preço]]="Só DE/PARA"),tb_preco_shp[[#This Row],[PARA]],tb_preco_shp[[#This Row],[Preço alvo]])*(VLOOKUP(TRIM(tb_preco_shp[[#This Row],[Taxa]]),tb_faixas_shoppe[],3,FALSE)+tb_preco_shp[[#This Row],[Imposto (Nfe)]]))+VLOOKUP(TRIM(tb_preco_shp[[#This Row],[Taxa]]),tb_faixas_shoppe[],4,FALSE))-tb_preco_shp[[#This Row],[Preço Custo]]),"")</f>
        <v/>
      </c>
      <c r="Q10" s="210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(Nfe)]]-35%)&lt;=79.99,( tb_preco_shp[[#This Row],[Preço Custo]]+VLOOKUP("Faixa 1",tb_faixas_shoppe[],4,FALSE) )/(1-VLOOKUP("Faixa 1",tb_faixas_shoppe[],3,FALSE)-tb_preco_shp[[#This Row],[Imposto (Nfe)]]-35%),IF(AND((tb_preco_shp[[#This Row],[Preço Custo]]+VLOOKUP("Faixa 2",tb_faixas_shoppe[],4,FALSE))/(1-VLOOKUP("Faixa 2",tb_faixas_shoppe[],3,FALSE)-tb_preco_shp[[#This Row],[Imposto (Nfe)]]-35%)&gt;=80,( tb_preco_shp[[#This Row],[Preço Custo]]+VLOOKUP("Faixa 2",tb_faixas_shoppe[],4,FALSE) )/(1-VLOOKUP("Faixa 2",tb_faixas_shoppe[],3,FALSE)-tb_preco_shp[[#This Row],[Imposto (Nfe)]]-35%)&lt;100),( tb_preco_shp[[#This Row],[Preço Custo]]+VLOOKUP("Faixa 2",tb_faixas_shoppe[],4,FALSE) )/(1-VLOOKUP("Faixa 2",tb_faixas_shoppe[],3,FALSE)-tb_preco_shp[[#This Row],[Imposto (Nfe)]]-35%),IF(AND((tb_preco_shp[[#This Row],[Preço Custo]]+VLOOKUP("Faixa 3",tb_faixas_shoppe[],4,FALSE))/(1-VLOOKUP("Faixa 3",tb_faixas_shoppe[],3,FALSE)-tb_preco_shp[[#This Row],[Imposto (Nfe)]]-35%)&gt;=100,( tb_preco_shp[[#This Row],[Preço Custo]]+VLOOKUP("Faixa 3",tb_faixas_shoppe[],4,FALSE) )/(1-VLOOKUP("Faixa 3",tb_faixas_shoppe[],3,FALSE)-tb_preco_shp[[#This Row],[Imposto (Nfe)]]-35%)&lt;200),( tb_preco_shp[[#This Row],[Preço Custo]]+VLOOKUP("Faixa 3",tb_faixas_shoppe[],4,FALSE) )/(1-VLOOKUP("Faixa 3",tb_faixas_shoppe[],3,FALSE)-tb_preco_shp[[#This Row],[Imposto (Nfe)]]-35%),IF(AND((tb_preco_shp[[#This Row],[Preço Custo]]+VLOOKUP("Faixa 4",tb_faixas_shoppe[],4,FALSE))/(1-VLOOKUP("Faixa 4",tb_faixas_shoppe[],3,FALSE)-tb_preco_shp[[#This Row],[Imposto (Nfe)]]-35%)&gt;=200,( tb_preco_shp[[#This Row],[Preço Custo]]+VLOOKUP("Faixa 4",tb_faixas_shoppe[],4,FALSE) )/(1-VLOOKUP("Faixa 4",tb_faixas_shoppe[],3,FALSE)-tb_preco_shp[[#This Row],[Imposto (Nfe)]]-35%)&lt;500),( tb_preco_shp[[#This Row],[Preço Custo]]+VLOOKUP("Faixa 4",tb_faixas_shoppe[],4,FALSE) )/(1-VLOOKUP("Faixa 4",tb_faixas_shoppe[],3,FALSE)-tb_preco_shp[[#This Row],[Imposto (Nfe)]]-35%),( tb_preco_shp[[#This Row],[Preço Custo]]+VLOOKUP("Faixa 5",tb_faixas_shoppe[],4,FALSE) )/(1-VLOOKUP("Faixa 5",tb_faixas_shoppe[],3,FALSE)-tb_preco_shp[[#This Row],[Imposto (Nfe)]]-35%))))),2),""))</f>
        <v/>
      </c>
      <c r="R10" s="211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(Nfe)]]-30%)&lt;=79.99,(tb_preco_shp[[#This Row],[Preço Custo]]+VLOOKUP("Faixa 1",tb_faixas_shoppe[],4,FALSE))/(1-VLOOKUP("Faixa 1",tb_faixas_shoppe[],3,FALSE)-tb_preco_shp[[#This Row],[Imposto (Nfe)]]-30%),IF(AND((tb_preco_shp[[#This Row],[Preço Custo]]+VLOOKUP("Faixa 2",tb_faixas_shoppe[],4,FALSE))/(1-VLOOKUP("Faixa 2",tb_faixas_shoppe[],3,FALSE)-tb_preco_shp[[#This Row],[Imposto (Nfe)]]-30%)&gt;=80,(tb_preco_shp[[#This Row],[Preço Custo]]+VLOOKUP("Faixa 2",tb_faixas_shoppe[],4,FALSE))/(1-VLOOKUP("Faixa 2",tb_faixas_shoppe[],3,FALSE)-tb_preco_shp[[#This Row],[Imposto (Nfe)]]-30%)&lt;100),(tb_preco_shp[[#This Row],[Preço Custo]]+VLOOKUP("Faixa 2",tb_faixas_shoppe[],4,FALSE))/(1-VLOOKUP("Faixa 2",tb_faixas_shoppe[],3,FALSE)-tb_preco_shp[[#This Row],[Imposto (Nfe)]]-30%),IF(AND((tb_preco_shp[[#This Row],[Preço Custo]]+VLOOKUP("Faixa 3",tb_faixas_shoppe[],4,FALSE))/(1-VLOOKUP("Faixa 3",tb_faixas_shoppe[],3,FALSE)-tb_preco_shp[[#This Row],[Imposto (Nfe)]]-30%)&gt;=100,(tb_preco_shp[[#This Row],[Preço Custo]]+VLOOKUP("Faixa 3",tb_faixas_shoppe[],4,FALSE))/(1-VLOOKUP("Faixa 3",tb_faixas_shoppe[],3,FALSE)-tb_preco_shp[[#This Row],[Imposto (Nfe)]]-30%)&lt;200),(tb_preco_shp[[#This Row],[Preço Custo]]+VLOOKUP("Faixa 3",tb_faixas_shoppe[],4,FALSE))/(1-VLOOKUP("Faixa 3",tb_faixas_shoppe[],3,FALSE)-tb_preco_shp[[#This Row],[Imposto (Nfe)]]-30%),IF(AND((tb_preco_shp[[#This Row],[Preço Custo]]+VLOOKUP("Faixa 4",tb_faixas_shoppe[],4,FALSE))/(1-VLOOKUP("Faixa 4",tb_faixas_shoppe[],3,FALSE)-tb_preco_shp[[#This Row],[Imposto (Nfe)]]-30%)&gt;=200,(tb_preco_shp[[#This Row],[Preço Custo]]+VLOOKUP("Faixa 4",tb_faixas_shoppe[],4,FALSE))/(1-VLOOKUP("Faixa 4",tb_faixas_shoppe[],3,FALSE)-tb_preco_shp[[#This Row],[Imposto (Nfe)]]-30%)&lt;500),(tb_preco_shp[[#This Row],[Preço Custo]]+VLOOKUP("Faixa 4",tb_faixas_shoppe[],4,FALSE))/(1-VLOOKUP("Faixa 4",tb_faixas_shoppe[],3,FALSE)-tb_preco_shp[[#This Row],[Imposto (Nfe)]]-30%),(tb_preco_shp[[#This Row],[Preço Custo]]+VLOOKUP("Faixa 5",tb_faixas_shoppe[],4,FALSE))/(1-VLOOKUP("Faixa 5",tb_faixas_shoppe[],3,FALSE)-tb_preco_shp[[#This Row],[Imposto (Nfe)]]-30%))))),2),""))</f>
        <v/>
      </c>
      <c r="S10" s="211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(Nfe)]]-23%)&lt;=79.99,(tb_preco_shp[[#This Row],[Preço Custo]]+VLOOKUP("Faixa 1",tb_faixas_shoppe[],4,FALSE))/(1-VLOOKUP("Faixa 1",tb_faixas_shoppe[],3,FALSE)-tb_preco_shp[[#This Row],[Imposto (Nfe)]]-23%),IF(AND((tb_preco_shp[[#This Row],[Preço Custo]]+VLOOKUP("Faixa 2",tb_faixas_shoppe[],4,FALSE))/(1-VLOOKUP("Faixa 2",tb_faixas_shoppe[],3,FALSE)-tb_preco_shp[[#This Row],[Imposto (Nfe)]]-23%)&gt;=80,(tb_preco_shp[[#This Row],[Preço Custo]]+VLOOKUP("Faixa 2",tb_faixas_shoppe[],4,FALSE))/(1-VLOOKUP("Faixa 2",tb_faixas_shoppe[],3,FALSE)-tb_preco_shp[[#This Row],[Imposto (Nfe)]]-23%)&lt;100),(tb_preco_shp[[#This Row],[Preço Custo]]+VLOOKUP("Faixa 2",tb_faixas_shoppe[],4,FALSE))/(1-VLOOKUP("Faixa 2",tb_faixas_shoppe[],3,FALSE)-tb_preco_shp[[#This Row],[Imposto (Nfe)]]-23%),IF(AND((tb_preco_shp[[#This Row],[Preço Custo]]+VLOOKUP("Faixa 3",tb_faixas_shoppe[],4,FALSE))/(1-VLOOKUP("Faixa 3",tb_faixas_shoppe[],3,FALSE)-tb_preco_shp[[#This Row],[Imposto (Nfe)]]-23%)&gt;=100,(tb_preco_shp[[#This Row],[Preço Custo]]+VLOOKUP("Faixa 3",tb_faixas_shoppe[],4,FALSE))/(1-VLOOKUP("Faixa 3",tb_faixas_shoppe[],3,FALSE)-tb_preco_shp[[#This Row],[Imposto (Nfe)]]-23%)&lt;200),(tb_preco_shp[[#This Row],[Preço Custo]]+VLOOKUP("Faixa 3",tb_faixas_shoppe[],4,FALSE))/(1-VLOOKUP("Faixa 3",tb_faixas_shoppe[],3,FALSE)-tb_preco_shp[[#This Row],[Imposto (Nfe)]]-23%),IF(AND((tb_preco_shp[[#This Row],[Preço Custo]]+VLOOKUP("Faixa 4",tb_faixas_shoppe[],4,FALSE))/(1-VLOOKUP("Faixa 4",tb_faixas_shoppe[],3,FALSE)-tb_preco_shp[[#This Row],[Imposto (Nfe)]]-23%)&gt;=200,(tb_preco_shp[[#This Row],[Preço Custo]]+VLOOKUP("Faixa 4",tb_faixas_shoppe[],4,FALSE))/(1-VLOOKUP("Faixa 4",tb_faixas_shoppe[],3,FALSE)-tb_preco_shp[[#This Row],[Imposto (Nfe)]]-23%)&lt;500),(tb_preco_shp[[#This Row],[Preço Custo]]+VLOOKUP("Faixa 4",tb_faixas_shoppe[],4,FALSE))/(1-VLOOKUP("Faixa 4",tb_faixas_shoppe[],3,FALSE)-tb_preco_shp[[#This Row],[Imposto (Nfe)]]-23%),(tb_preco_shp[[#This Row],[Preço Custo]]+VLOOKUP("Faixa 5",tb_faixas_shoppe[],4,FALSE))/(1-VLOOKUP("Faixa 5",tb_faixas_shoppe[],3,FALSE)-tb_preco_shp[[#This Row],[Imposto (Nfe)]]-23%))))),2),""))</f>
        <v/>
      </c>
      <c r="T10" s="210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(Nfe)]]-17%)&lt;=79.99,(tb_preco_shp[[#This Row],[Preço Custo]]+VLOOKUP("Faixa 1",tb_faixas_shoppe[],4,FALSE))/(1-VLOOKUP("Faixa 1",tb_faixas_shoppe[],3,FALSE)-tb_preco_shp[[#This Row],[Imposto (Nfe)]]-17%),IF(AND((tb_preco_shp[[#This Row],[Preço Custo]]+VLOOKUP("Faixa 2",tb_faixas_shoppe[],4,FALSE))/(1-VLOOKUP("Faixa 2",tb_faixas_shoppe[],3,FALSE)-tb_preco_shp[[#This Row],[Imposto (Nfe)]]-17%)&gt;=80,(tb_preco_shp[[#This Row],[Preço Custo]]+VLOOKUP("Faixa 2",tb_faixas_shoppe[],4,FALSE))/(1-VLOOKUP("Faixa 2",tb_faixas_shoppe[],3,FALSE)-tb_preco_shp[[#This Row],[Imposto (Nfe)]]-17%)&lt;100),(tb_preco_shp[[#This Row],[Preço Custo]]+VLOOKUP("Faixa 2",tb_faixas_shoppe[],4,FALSE))/(1-VLOOKUP("Faixa 2",tb_faixas_shoppe[],3,FALSE)-tb_preco_shp[[#This Row],[Imposto (Nfe)]]-17%),IF(AND((tb_preco_shp[[#This Row],[Preço Custo]]+VLOOKUP("Faixa 3",tb_faixas_shoppe[],4,FALSE))/(1-VLOOKUP("Faixa 3",tb_faixas_shoppe[],3,FALSE)-tb_preco_shp[[#This Row],[Imposto (Nfe)]]-17%)&gt;=100,(tb_preco_shp[[#This Row],[Preço Custo]]+VLOOKUP("Faixa 3",tb_faixas_shoppe[],4,FALSE))/(1-VLOOKUP("Faixa 3",tb_faixas_shoppe[],3,FALSE)-tb_preco_shp[[#This Row],[Imposto (Nfe)]]-17%)&lt;200),(tb_preco_shp[[#This Row],[Preço Custo]]+VLOOKUP("Faixa 3",tb_faixas_shoppe[],4,FALSE))/(1-VLOOKUP("Faixa 3",tb_faixas_shoppe[],3,FALSE)-tb_preco_shp[[#This Row],[Imposto (Nfe)]]-17%),IF(AND((tb_preco_shp[[#This Row],[Preço Custo]]+VLOOKUP("Faixa 4",tb_faixas_shoppe[],4,FALSE))/(1-VLOOKUP("Faixa 4",tb_faixas_shoppe[],3,FALSE)-tb_preco_shp[[#This Row],[Imposto (Nfe)]]-17%)&gt;=200,(tb_preco_shp[[#This Row],[Preço Custo]]+VLOOKUP("Faixa 4",tb_faixas_shoppe[],4,FALSE))/(1-VLOOKUP("Faixa 4",tb_faixas_shoppe[],3,FALSE)-tb_preco_shp[[#This Row],[Imposto (Nfe)]]-17%)&lt;500),(tb_preco_shp[[#This Row],[Preço Custo]]+VLOOKUP("Faixa 4",tb_faixas_shoppe[],4,FALSE))/(1-VLOOKUP("Faixa 4",tb_faixas_shoppe[],3,FALSE)-tb_preco_shp[[#This Row],[Imposto (Nfe)]]-17%),(tb_preco_shp[[#This Row],[Preço Custo]]+VLOOKUP("Faixa 5",tb_faixas_shoppe[],4,FALSE))/(1-VLOOKUP("Faixa 5",tb_faixas_shoppe[],3,FALSE)-tb_preco_shp[[#This Row],[Imposto (Nfe)]]-17%))))),2),""))</f>
        <v/>
      </c>
      <c r="U10" s="211">
        <f>IF(tb_preco_shp[[#This Row],[Preço Custo]]="","",IFERROR(
ROUND(
IF((tb_preco_shp[[#This Row],[Preço Custo]]+4)/(1-28%-10%)&lt;80,
   (tb_preco_shp[[#This Row],[Preço Custo]]+4)/(1-28%-10%),
   IF(AND((tb_preco_shp[[#This Row],[Preço Custo]]+16)/(1-22%-10%)&gt;=80, (tb_preco_shp[[#This Row],[Preço Custo]]+16)/(1-22%-10%)&lt;100),
      (tb_preco_shp[[#This Row],[Preço Custo]]+16)/(1-22%-10%),
      IF(AND((tb_preco_shp[[#This Row],[Preço Custo]]+20)/(1-22%-10%)&gt;=100, (tb_preco_shp[[#This Row],[Preço Custo]]+20)/(1-22%-10%)&lt;200),
         (tb_preco_shp[[#This Row],[Preço Custo]]+20)/(1-22%-10%),
         IF(AND((tb_preco_shp[[#This Row],[Preço Custo]]+26)/(1-22%-10%)&gt;=200, (tb_preco_shp[[#This Row],[Preço Custo]]+26)/(1-22%-10%)&lt;500),
            (tb_preco_shp[[#This Row],[Preço Custo]]+26)/(1-22%-10%),
            (tb_preco_shp[[#This Row],[Preço Custo]]+28)/(1-22%-10%)
         )
      )
   )
),2),""))</f>
        <v/>
      </c>
      <c r="V10" s="211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(Nfe)]])&lt;=79.99,(tb_preco_shp[[#This Row],[Preço Custo]]+VLOOKUP("Faixa 1",tb_faixas_shoppe[],4,FALSE))/(1-VLOOKUP("Faixa 1",tb_faixas_shoppe[],3,FALSE)-tb_preco_shp[[#This Row],[Imposto (Nfe)]]),IF(AND((tb_preco_shp[[#This Row],[Preço Custo]]+VLOOKUP("Faixa 2",tb_faixas_shoppe[],4,FALSE))/(1-VLOOKUP("Faixa 2",tb_faixas_shoppe[],3,FALSE)-tb_preco_shp[[#This Row],[Imposto (Nfe)]])&gt;=80,(tb_preco_shp[[#This Row],[Preço Custo]]+VLOOKUP("Faixa 2",tb_faixas_shoppe[],4,FALSE))/(1-VLOOKUP("Faixa 2",tb_faixas_shoppe[],3,FALSE)-tb_preco_shp[[#This Row],[Imposto (Nfe)]])&lt;100),(tb_preco_shp[[#This Row],[Preço Custo]]+VLOOKUP("Faixa 2",tb_faixas_shoppe[],4,FALSE))/(1-VLOOKUP("Faixa 2",tb_faixas_shoppe[],3,FALSE)-tb_preco_shp[[#This Row],[Imposto (Nfe)]]),IF(AND((tb_preco_shp[[#This Row],[Preço Custo]]+VLOOKUP("Faixa 3",tb_faixas_shoppe[],4,FALSE))/(1-VLOOKUP("Faixa 3",tb_faixas_shoppe[],3,FALSE)-tb_preco_shp[[#This Row],[Imposto (Nfe)]])&gt;=100,(tb_preco_shp[[#This Row],[Preço Custo]]+VLOOKUP("Faixa 3",tb_faixas_shoppe[],4,FALSE))/(1-VLOOKUP("Faixa 3",tb_faixas_shoppe[],3,FALSE)-tb_preco_shp[[#This Row],[Imposto (Nfe)]])&lt;200),(tb_preco_shp[[#This Row],[Preço Custo]]+VLOOKUP("Faixa 3",tb_faixas_shoppe[],4,FALSE))/(1-VLOOKUP("Faixa 3",tb_faixas_shoppe[],3,FALSE)-tb_preco_shp[[#This Row],[Imposto (Nfe)]]),IF(AND((tb_preco_shp[[#This Row],[Preço Custo]]+VLOOKUP("Faixa 4",tb_faixas_shoppe[],4,FALSE))/(1-VLOOKUP("Faixa 4",tb_faixas_shoppe[],3,FALSE)-tb_preco_shp[[#This Row],[Imposto (Nfe)]])&gt;=200,(tb_preco_shp[[#This Row],[Preço Custo]]+VLOOKUP("Faixa 4",tb_faixas_shoppe[],4,FALSE))/(1-VLOOKUP("Faixa 4",tb_faixas_shoppe[],3,FALSE)-tb_preco_shp[[#This Row],[Imposto (Nfe)]])&lt;500),(tb_preco_shp[[#This Row],[Preço Custo]]+VLOOKUP("Faixa 4",tb_faixas_shoppe[],4,FALSE))/(1-VLOOKUP("Faixa 4",tb_faixas_shoppe[],3,FALSE)-tb_preco_shp[[#This Row],[Imposto (Nfe)]]),(tb_preco_shp[[#This Row],[Preço Custo]]+VLOOKUP("Faixa 5",tb_faixas_shoppe[],4,FALSE))/(1-VLOOKUP("Faixa 5",tb_faixas_shoppe[],3,FALSE)-tb_preco_shp[[#This Row],[Imposto (Nfe)]]))))),2),""))</f>
        <v/>
      </c>
    </row>
    <row r="11" ht="22" customHeight="1">
      <c r="A11" s="195">
        <f>IF(tb_preco_shp[[#This Row],[Prefixo]]="","",VLOOKUP(tb_preco_shp[[#This Row],[Prefixo]],Auxiliar[],2,FALSE))</f>
        <v/>
      </c>
      <c r="B11" s="212">
        <f>IF(tb_preco_shp[[#This Row],[SKU]] =  "", "",IFERROR(LEFT(tb_preco_shp[[#This Row],[SKU]],FIND(".",tb_preco_shp[[#This Row],[SKU]])-1),tb_preco_shp[[#This Row],[SKU]]))</f>
        <v/>
      </c>
      <c r="C11" s="196" t="inlineStr">
        <is>
          <t>PERNA.102.1P</t>
        </is>
      </c>
      <c r="D11" s="197" t="inlineStr">
        <is>
          <t>Colete Jeans Feminino</t>
        </is>
      </c>
      <c r="E11" s="198" t="n">
        <v>19</v>
      </c>
      <c r="F11" s="199" t="n">
        <v>62.16</v>
      </c>
      <c r="G11" s="200">
        <f>tb_preco_shp[[#This Row],[Preço Cadastro DE]]-(tb_preco_shp[[#This Row],[Preço Cadastro DE]]*5%)</f>
        <v/>
      </c>
      <c r="H11" s="201" t="n"/>
      <c r="I11" s="202">
        <f>IFERROR(IF(F11="","",IF(OR(H11="",H11=0),IF(G11="","",G11),ROUND(F11*(1-H11),2))),"")</f>
        <v/>
      </c>
      <c r="J11" s="203" t="n">
        <v>0.08</v>
      </c>
      <c r="K11" s="204" t="n">
        <v>0.23</v>
      </c>
      <c r="L11" s="205">
        <f>IFERROR(IF(tb_preco_shp[[#This Row],[Estratégia de preço]]="","",IF(TEXT(tb_preco_shp[[#This Row],[Estratégia de preço]],"0%")="23%",tb_preco_shp[[#This Row],[23% de Contribuição]],IF(TEXT(tb_preco_shp[[#This Row],[Estratégia de preço]],"0%")="17%",tb_preco_shp[[#This Row],[17% de Contribuição]],IF(TEXT(tb_preco_shp[[#This Row],[Estratégia de preço]],"0%")="10%",tb_preco_shp[[#This Row],[10% de Contribuição]],IF(TEXT(tb_preco_shp[[#This Row],[Estratégia de preço]],"0%")="0%",tb_preco_shp[[#This Row],[0% de Contribuição]],""))))),"")</f>
        <v/>
      </c>
      <c r="M11" s="206">
        <f>IFERROR(IF(tb_preco_shp[[#This Row],[Estratégia de preço]]="","",MAX(0,1-IF(TEXT(tb_preco_shp[[#This Row],[Estratégia de preço]],"0%")="23%",tb_preco_shp[[#This Row],[23% de Contribuição]]/tb_preco_shp[[#This Row],[Preço Cadastro DE]],IF(TEXT(tb_preco_shp[[#This Row],[Estratégia de preço]],"0%")="17%",tb_preco_shp[[#This Row],[17% de Contribuição]]/tb_preco_shp[[#This Row],[Preço Cadastro DE]],IF(TEXT(tb_preco_shp[[#This Row],[Estratégia de preço]],"0%")="10%",tb_preco_shp[[#This Row],[10% de Contribuição]]/tb_preco_shp[[#This Row],[Preço Cadastro DE]],IF(TEXT(tb_preco_shp[[#This Row],[Estratégia de preço]],"0%")="0%",tb_preco_shp[[#This Row],[0% de Contribuição]]/tb_preco_shp[[#This Row],[Preço Cadastro DE]],1)))))),"")</f>
        <v/>
      </c>
      <c r="N11" s="207">
        <f>IFERROR(IF(OR(tb_preco_shp[[#This Row],[Preço Custo]]="",tb_preco_shp[[#This Row],[Imposto (Nfe)]]="",IF(OR(tb_preco_shp[[#This Row],[Estratégia de preço]]="",tb_preco_shp[[#This Row],[Estratégia de preço]]="Só DE/PARA",tb_preco_shp[[#This Row],[Estratégia de preço]]="Só DE/PARA"),tb_preco_shp[[#This Row],[PARA]],tb_preco_shp[[#This Row],[Preço alvo]])=""),"",IF(IF(OR(tb_preco_shp[[#This Row],[Estratégia de preço]]="",tb_preco_shp[[#This Row],[Estratégia de preço]]="Só DE/PARA",tb_preco_shp[[#This Row],[Estratégia de preço]]="Só DE/PARA"),tb_preco_shp[[#This Row],[PARA]],tb_preco_shp[[#This Row],[Preço alvo]])&lt;=79.99,"Faixa 1",IF(IF(OR(tb_preco_shp[[#This Row],[Estratégia de preço]]="",tb_preco_shp[[#This Row],[Estratégia de preço]]="Só DE/PARA",tb_preco_shp[[#This Row],[Estratégia de preço]]="Só DE/PARA"),tb_preco_shp[[#This Row],[PARA]],tb_preco_shp[[#This Row],[Preço alvo]])&lt;=99.99,"Faixa 2",IF(IF(OR(tb_preco_shp[[#This Row],[Estratégia de preço]]="",tb_preco_shp[[#This Row],[Estratégia de preço]]="Só DE/PARA",tb_preco_shp[[#This Row],[Estratégia de preço]]="Só DE/PARA"),tb_preco_shp[[#This Row],[PARA]],tb_preco_shp[[#This Row],[Preço alvo]])&lt;=199.99,"Faixa 3",IF(IF(OR(tb_preco_shp[[#This Row],[Estratégia de preço]]="",tb_preco_shp[[#This Row],[Estratégia de preço]]="Só DE/PARA",tb_preco_shp[[#This Row],[Estratégia de preço]]="Só DE/PARA"),tb_preco_shp[[#This Row],[PARA]],tb_preco_shp[[#This Row],[Preço alvo]])&lt;=499.99,"Faixa 4","Faixa 5"))))),"")</f>
        <v/>
      </c>
      <c r="O11" s="208">
        <f>IFERROR(IF(OR(tb_preco_shp[[#This Row],[Preço Custo]]="",tb_preco_shp[[#This Row],[Imposto (Nfe)]]="",IF(OR(tb_preco_shp[[#This Row],[Estratégia de preço]]="",tb_preco_shp[[#This Row],[Estratégia de preço]]="Selecionar Estratégia",tb_preco_shp[[#This Row],[Estratégia de preço]]="Só DE/PARA"),tb_preco_shp[[#This Row],[PARA]],tb_preco_shp[[#This Row],[Preço alvo]])=""),"",(IF(OR(tb_preco_shp[[#This Row],[Estratégia de preço]]="",tb_preco_shp[[#This Row],[Estratégia de preço]]="Selecionar Estratégia",tb_preco_shp[[#This Row],[Estratégia de preço]]="Só DE/PARA"),tb_preco_shp[[#This Row],[PARA]],tb_preco_shp[[#This Row],[Preço alvo]])-((IF(OR(tb_preco_shp[[#This Row],[Estratégia de preço]]="",tb_preco_shp[[#This Row],[Estratégia de preço]]="Selecionar Estratégia",tb_preco_shp[[#This Row],[Estratégia de preço]]="Só DE/PARA"),tb_preco_shp[[#This Row],[PARA]],tb_preco_shp[[#This Row],[Preço alvo]])*(IF(IF(OR(tb_preco_shp[[#This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alvo]])&lt;=79.99,20%,14%)+tb_preco_shp[[#This Row],[Imposto (Nfe)]]))+IF(IF(OR(tb_preco_shp[[#This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alvo]])&lt;=79.99,4,IF(IF(OR(tb_preco_shp[[#This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alvo]])&lt;=99.99,16,IF(IF(OR(tb_preco_shp[[#This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alvo]])&lt;=199.99,20,IF(IF(OR(tb_preco_shp[[#This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alvo]])&lt;=499.99,26,28)))))-tb_preco_shp[[#This Row],[Preço Custo]])/IF(OR(tb_preco_shp[[#This Row],[Estratégia de preço]]="",tb_preco_shp[[#This Row],[Estratégia de preço]]="Selecionar Estratégia",tb_preco_shp[[#This Row],[Estratégia de preço]]="Só DE/PARA"),tb_preco_shp[[#This Row],[PARA]],tb_preco_shp[[#This Row],[Preço alvo]])),"")</f>
        <v/>
      </c>
      <c r="P11" s="209">
        <f>IFERROR(IF(OR(tb_preco_shp[[#This Row],[Preço Custo]]="",tb_preco_shp[[#This Row],[Imposto (Nfe)]]="",tb_preco_shp[[#This Row],[Taxa]]="",IF(OR(tb_preco_shp[[#This Row],[Estratégia de preço]]="",tb_preco_shp[[#This Row],[Estratégia de preço]]="Só DE/PARA"),tb_preco_shp[[#This Row],[PARA]],tb_preco_shp[[#This Row],[Preço alvo]])=""),"",IF(OR(tb_preco_shp[[#This Row],[Estratégia de preço]]="",tb_preco_shp[[#This Row],[Estratégia de preço]]="Só DE/PARA"),tb_preco_shp[[#This Row],[PARA]],tb_preco_shp[[#This Row],[Preço alvo]])-((IF(OR(tb_preco_shp[[#This Row],[Estratégia de preço]]="",tb_preco_shp[[#This Row],[Estratégia de preço]]="Só DE/PARA"),tb_preco_shp[[#This Row],[PARA]],tb_preco_shp[[#This Row],[Preço alvo]])*(VLOOKUP(TRIM(tb_preco_shp[[#This Row],[Taxa]]),tb_faixas_shoppe[],3,FALSE)+tb_preco_shp[[#This Row],[Imposto (Nfe)]]))+VLOOKUP(TRIM(tb_preco_shp[[#This Row],[Taxa]]),tb_faixas_shoppe[],4,FALSE))-tb_preco_shp[[#This Row],[Preço Custo]]),"")</f>
        <v/>
      </c>
      <c r="Q11" s="210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(Nfe)]]-35%)&lt;=79.99,( tb_preco_shp[[#This Row],[Preço Custo]]+VLOOKUP("Faixa 1",tb_faixas_shoppe[],4,FALSE) )/(1-VLOOKUP("Faixa 1",tb_faixas_shoppe[],3,FALSE)-tb_preco_shp[[#This Row],[Imposto (Nfe)]]-35%),IF(AND((tb_preco_shp[[#This Row],[Preço Custo]]+VLOOKUP("Faixa 2",tb_faixas_shoppe[],4,FALSE))/(1-VLOOKUP("Faixa 2",tb_faixas_shoppe[],3,FALSE)-tb_preco_shp[[#This Row],[Imposto (Nfe)]]-35%)&gt;=80,( tb_preco_shp[[#This Row],[Preço Custo]]+VLOOKUP("Faixa 2",tb_faixas_shoppe[],4,FALSE) )/(1-VLOOKUP("Faixa 2",tb_faixas_shoppe[],3,FALSE)-tb_preco_shp[[#This Row],[Imposto (Nfe)]]-35%)&lt;100),( tb_preco_shp[[#This Row],[Preço Custo]]+VLOOKUP("Faixa 2",tb_faixas_shoppe[],4,FALSE) )/(1-VLOOKUP("Faixa 2",tb_faixas_shoppe[],3,FALSE)-tb_preco_shp[[#This Row],[Imposto (Nfe)]]-35%),IF(AND((tb_preco_shp[[#This Row],[Preço Custo]]+VLOOKUP("Faixa 3",tb_faixas_shoppe[],4,FALSE))/(1-VLOOKUP("Faixa 3",tb_faixas_shoppe[],3,FALSE)-tb_preco_shp[[#This Row],[Imposto (Nfe)]]-35%)&gt;=100,( tb_preco_shp[[#This Row],[Preço Custo]]+VLOOKUP("Faixa 3",tb_faixas_shoppe[],4,FALSE) )/(1-VLOOKUP("Faixa 3",tb_faixas_shoppe[],3,FALSE)-tb_preco_shp[[#This Row],[Imposto (Nfe)]]-35%)&lt;200),( tb_preco_shp[[#This Row],[Preço Custo]]+VLOOKUP("Faixa 3",tb_faixas_shoppe[],4,FALSE) )/(1-VLOOKUP("Faixa 3",tb_faixas_shoppe[],3,FALSE)-tb_preco_shp[[#This Row],[Imposto (Nfe)]]-35%),IF(AND((tb_preco_shp[[#This Row],[Preço Custo]]+VLOOKUP("Faixa 4",tb_faixas_shoppe[],4,FALSE))/(1-VLOOKUP("Faixa 4",tb_faixas_shoppe[],3,FALSE)-tb_preco_shp[[#This Row],[Imposto (Nfe)]]-35%)&gt;=200,( tb_preco_shp[[#This Row],[Preço Custo]]+VLOOKUP("Faixa 4",tb_faixas_shoppe[],4,FALSE) )/(1-VLOOKUP("Faixa 4",tb_faixas_shoppe[],3,FALSE)-tb_preco_shp[[#This Row],[Imposto (Nfe)]]-35%)&lt;500),( tb_preco_shp[[#This Row],[Preço Custo]]+VLOOKUP("Faixa 4",tb_faixas_shoppe[],4,FALSE) )/(1-VLOOKUP("Faixa 4",tb_faixas_shoppe[],3,FALSE)-tb_preco_shp[[#This Row],[Imposto (Nfe)]]-35%),( tb_preco_shp[[#This Row],[Preço Custo]]+VLOOKUP("Faixa 5",tb_faixas_shoppe[],4,FALSE) )/(1-VLOOKUP("Faixa 5",tb_faixas_shoppe[],3,FALSE)-tb_preco_shp[[#This Row],[Imposto (Nfe)]]-35%))))),2),""))</f>
        <v/>
      </c>
      <c r="R11" s="211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(Nfe)]]-30%)&lt;=79.99,(tb_preco_shp[[#This Row],[Preço Custo]]+VLOOKUP("Faixa 1",tb_faixas_shoppe[],4,FALSE))/(1-VLOOKUP("Faixa 1",tb_faixas_shoppe[],3,FALSE)-tb_preco_shp[[#This Row],[Imposto (Nfe)]]-30%),IF(AND((tb_preco_shp[[#This Row],[Preço Custo]]+VLOOKUP("Faixa 2",tb_faixas_shoppe[],4,FALSE))/(1-VLOOKUP("Faixa 2",tb_faixas_shoppe[],3,FALSE)-tb_preco_shp[[#This Row],[Imposto (Nfe)]]-30%)&gt;=80,(tb_preco_shp[[#This Row],[Preço Custo]]+VLOOKUP("Faixa 2",tb_faixas_shoppe[],4,FALSE))/(1-VLOOKUP("Faixa 2",tb_faixas_shoppe[],3,FALSE)-tb_preco_shp[[#This Row],[Imposto (Nfe)]]-30%)&lt;100),(tb_preco_shp[[#This Row],[Preço Custo]]+VLOOKUP("Faixa 2",tb_faixas_shoppe[],4,FALSE))/(1-VLOOKUP("Faixa 2",tb_faixas_shoppe[],3,FALSE)-tb_preco_shp[[#This Row],[Imposto (Nfe)]]-30%),IF(AND((tb_preco_shp[[#This Row],[Preço Custo]]+VLOOKUP("Faixa 3",tb_faixas_shoppe[],4,FALSE))/(1-VLOOKUP("Faixa 3",tb_faixas_shoppe[],3,FALSE)-tb_preco_shp[[#This Row],[Imposto (Nfe)]]-30%)&gt;=100,(tb_preco_shp[[#This Row],[Preço Custo]]+VLOOKUP("Faixa 3",tb_faixas_shoppe[],4,FALSE))/(1-VLOOKUP("Faixa 3",tb_faixas_shoppe[],3,FALSE)-tb_preco_shp[[#This Row],[Imposto (Nfe)]]-30%)&lt;200),(tb_preco_shp[[#This Row],[Preço Custo]]+VLOOKUP("Faixa 3",tb_faixas_shoppe[],4,FALSE))/(1-VLOOKUP("Faixa 3",tb_faixas_shoppe[],3,FALSE)-tb_preco_shp[[#This Row],[Imposto (Nfe)]]-30%),IF(AND((tb_preco_shp[[#This Row],[Preço Custo]]+VLOOKUP("Faixa 4",tb_faixas_shoppe[],4,FALSE))/(1-VLOOKUP("Faixa 4",tb_faixas_shoppe[],3,FALSE)-tb_preco_shp[[#This Row],[Imposto (Nfe)]]-30%)&gt;=200,(tb_preco_shp[[#This Row],[Preço Custo]]+VLOOKUP("Faixa 4",tb_faixas_shoppe[],4,FALSE))/(1-VLOOKUP("Faixa 4",tb_faixas_shoppe[],3,FALSE)-tb_preco_shp[[#This Row],[Imposto (Nfe)]]-30%)&lt;500),(tb_preco_shp[[#This Row],[Preço Custo]]+VLOOKUP("Faixa 4",tb_faixas_shoppe[],4,FALSE))/(1-VLOOKUP("Faixa 4",tb_faixas_shoppe[],3,FALSE)-tb_preco_shp[[#This Row],[Imposto (Nfe)]]-30%),(tb_preco_shp[[#This Row],[Preço Custo]]+VLOOKUP("Faixa 5",tb_faixas_shoppe[],4,FALSE))/(1-VLOOKUP("Faixa 5",tb_faixas_shoppe[],3,FALSE)-tb_preco_shp[[#This Row],[Imposto (Nfe)]]-30%))))),2),""))</f>
        <v/>
      </c>
      <c r="S11" s="211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(Nfe)]]-23%)&lt;=79.99,(tb_preco_shp[[#This Row],[Preço Custo]]+VLOOKUP("Faixa 1",tb_faixas_shoppe[],4,FALSE))/(1-VLOOKUP("Faixa 1",tb_faixas_shoppe[],3,FALSE)-tb_preco_shp[[#This Row],[Imposto (Nfe)]]-23%),IF(AND((tb_preco_shp[[#This Row],[Preço Custo]]+VLOOKUP("Faixa 2",tb_faixas_shoppe[],4,FALSE))/(1-VLOOKUP("Faixa 2",tb_faixas_shoppe[],3,FALSE)-tb_preco_shp[[#This Row],[Imposto (Nfe)]]-23%)&gt;=80,(tb_preco_shp[[#This Row],[Preço Custo]]+VLOOKUP("Faixa 2",tb_faixas_shoppe[],4,FALSE))/(1-VLOOKUP("Faixa 2",tb_faixas_shoppe[],3,FALSE)-tb_preco_shp[[#This Row],[Imposto (Nfe)]]-23%)&lt;100),(tb_preco_shp[[#This Row],[Preço Custo]]+VLOOKUP("Faixa 2",tb_faixas_shoppe[],4,FALSE))/(1-VLOOKUP("Faixa 2",tb_faixas_shoppe[],3,FALSE)-tb_preco_shp[[#This Row],[Imposto (Nfe)]]-23%),IF(AND((tb_preco_shp[[#This Row],[Preço Custo]]+VLOOKUP("Faixa 3",tb_faixas_shoppe[],4,FALSE))/(1-VLOOKUP("Faixa 3",tb_faixas_shoppe[],3,FALSE)-tb_preco_shp[[#This Row],[Imposto (Nfe)]]-23%)&gt;=100,(tb_preco_shp[[#This Row],[Preço Custo]]+VLOOKUP("Faixa 3",tb_faixas_shoppe[],4,FALSE))/(1-VLOOKUP("Faixa 3",tb_faixas_shoppe[],3,FALSE)-tb_preco_shp[[#This Row],[Imposto (Nfe)]]-23%)&lt;200),(tb_preco_shp[[#This Row],[Preço Custo]]+VLOOKUP("Faixa 3",tb_faixas_shoppe[],4,FALSE))/(1-VLOOKUP("Faixa 3",tb_faixas_shoppe[],3,FALSE)-tb_preco_shp[[#This Row],[Imposto (Nfe)]]-23%),IF(AND((tb_preco_shp[[#This Row],[Preço Custo]]+VLOOKUP("Faixa 4",tb_faixas_shoppe[],4,FALSE))/(1-VLOOKUP("Faixa 4",tb_faixas_shoppe[],3,FALSE)-tb_preco_shp[[#This Row],[Imposto (Nfe)]]-23%)&gt;=200,(tb_preco_shp[[#This Row],[Preço Custo]]+VLOOKUP("Faixa 4",tb_faixas_shoppe[],4,FALSE))/(1-VLOOKUP("Faixa 4",tb_faixas_shoppe[],3,FALSE)-tb_preco_shp[[#This Row],[Imposto (Nfe)]]-23%)&lt;500),(tb_preco_shp[[#This Row],[Preço Custo]]+VLOOKUP("Faixa 4",tb_faixas_shoppe[],4,FALSE))/(1-VLOOKUP("Faixa 4",tb_faixas_shoppe[],3,FALSE)-tb_preco_shp[[#This Row],[Imposto (Nfe)]]-23%),(tb_preco_shp[[#This Row],[Preço Custo]]+VLOOKUP("Faixa 5",tb_faixas_shoppe[],4,FALSE))/(1-VLOOKUP("Faixa 5",tb_faixas_shoppe[],3,FALSE)-tb_preco_shp[[#This Row],[Imposto (Nfe)]]-23%))))),2),""))</f>
        <v/>
      </c>
      <c r="T11" s="210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(Nfe)]]-17%)&lt;=79.99,(tb_preco_shp[[#This Row],[Preço Custo]]+VLOOKUP("Faixa 1",tb_faixas_shoppe[],4,FALSE))/(1-VLOOKUP("Faixa 1",tb_faixas_shoppe[],3,FALSE)-tb_preco_shp[[#This Row],[Imposto (Nfe)]]-17%),IF(AND((tb_preco_shp[[#This Row],[Preço Custo]]+VLOOKUP("Faixa 2",tb_faixas_shoppe[],4,FALSE))/(1-VLOOKUP("Faixa 2",tb_faixas_shoppe[],3,FALSE)-tb_preco_shp[[#This Row],[Imposto (Nfe)]]-17%)&gt;=80,(tb_preco_shp[[#This Row],[Preço Custo]]+VLOOKUP("Faixa 2",tb_faixas_shoppe[],4,FALSE))/(1-VLOOKUP("Faixa 2",tb_faixas_shoppe[],3,FALSE)-tb_preco_shp[[#This Row],[Imposto (Nfe)]]-17%)&lt;100),(tb_preco_shp[[#This Row],[Preço Custo]]+VLOOKUP("Faixa 2",tb_faixas_shoppe[],4,FALSE))/(1-VLOOKUP("Faixa 2",tb_faixas_shoppe[],3,FALSE)-tb_preco_shp[[#This Row],[Imposto (Nfe)]]-17%),IF(AND((tb_preco_shp[[#This Row],[Preço Custo]]+VLOOKUP("Faixa 3",tb_faixas_shoppe[],4,FALSE))/(1-VLOOKUP("Faixa 3",tb_faixas_shoppe[],3,FALSE)-tb_preco_shp[[#This Row],[Imposto (Nfe)]]-17%)&gt;=100,(tb_preco_shp[[#This Row],[Preço Custo]]+VLOOKUP("Faixa 3",tb_faixas_shoppe[],4,FALSE))/(1-VLOOKUP("Faixa 3",tb_faixas_shoppe[],3,FALSE)-tb_preco_shp[[#This Row],[Imposto (Nfe)]]-17%)&lt;200),(tb_preco_shp[[#This Row],[Preço Custo]]+VLOOKUP("Faixa 3",tb_faixas_shoppe[],4,FALSE))/(1-VLOOKUP("Faixa 3",tb_faixas_shoppe[],3,FALSE)-tb_preco_shp[[#This Row],[Imposto (Nfe)]]-17%),IF(AND((tb_preco_shp[[#This Row],[Preço Custo]]+VLOOKUP("Faixa 4",tb_faixas_shoppe[],4,FALSE))/(1-VLOOKUP("Faixa 4",tb_faixas_shoppe[],3,FALSE)-tb_preco_shp[[#This Row],[Imposto (Nfe)]]-17%)&gt;=200,(tb_preco_shp[[#This Row],[Preço Custo]]+VLOOKUP("Faixa 4",tb_faixas_shoppe[],4,FALSE))/(1-VLOOKUP("Faixa 4",tb_faixas_shoppe[],3,FALSE)-tb_preco_shp[[#This Row],[Imposto (Nfe)]]-17%)&lt;500),(tb_preco_shp[[#This Row],[Preço Custo]]+VLOOKUP("Faixa 4",tb_faixas_shoppe[],4,FALSE))/(1-VLOOKUP("Faixa 4",tb_faixas_shoppe[],3,FALSE)-tb_preco_shp[[#This Row],[Imposto (Nfe)]]-17%),(tb_preco_shp[[#This Row],[Preço Custo]]+VLOOKUP("Faixa 5",tb_faixas_shoppe[],4,FALSE))/(1-VLOOKUP("Faixa 5",tb_faixas_shoppe[],3,FALSE)-tb_preco_shp[[#This Row],[Imposto (Nfe)]]-17%))))),2),""))</f>
        <v/>
      </c>
      <c r="U11" s="211">
        <f>IF(tb_preco_shp[[#This Row],[Preço Custo]]="","",IFERROR(
ROUND(
IF((tb_preco_shp[[#This Row],[Preço Custo]]+4)/(1-28%-10%)&lt;80,
   (tb_preco_shp[[#This Row],[Preço Custo]]+4)/(1-28%-10%),
   IF(AND((tb_preco_shp[[#This Row],[Preço Custo]]+16)/(1-22%-10%)&gt;=80, (tb_preco_shp[[#This Row],[Preço Custo]]+16)/(1-22%-10%)&lt;100),
      (tb_preco_shp[[#This Row],[Preço Custo]]+16)/(1-22%-10%),
      IF(AND((tb_preco_shp[[#This Row],[Preço Custo]]+20)/(1-22%-10%)&gt;=100, (tb_preco_shp[[#This Row],[Preço Custo]]+20)/(1-22%-10%)&lt;200),
         (tb_preco_shp[[#This Row],[Preço Custo]]+20)/(1-22%-10%),
         IF(AND((tb_preco_shp[[#This Row],[Preço Custo]]+26)/(1-22%-10%)&gt;=200, (tb_preco_shp[[#This Row],[Preço Custo]]+26)/(1-22%-10%)&lt;500),
            (tb_preco_shp[[#This Row],[Preço Custo]]+26)/(1-22%-10%),
            (tb_preco_shp[[#This Row],[Preço Custo]]+28)/(1-22%-10%)
         )
      )
   )
),2),""))</f>
        <v/>
      </c>
      <c r="V11" s="211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(Nfe)]])&lt;=79.99,(tb_preco_shp[[#This Row],[Preço Custo]]+VLOOKUP("Faixa 1",tb_faixas_shoppe[],4,FALSE))/(1-VLOOKUP("Faixa 1",tb_faixas_shoppe[],3,FALSE)-tb_preco_shp[[#This Row],[Imposto (Nfe)]]),IF(AND((tb_preco_shp[[#This Row],[Preço Custo]]+VLOOKUP("Faixa 2",tb_faixas_shoppe[],4,FALSE))/(1-VLOOKUP("Faixa 2",tb_faixas_shoppe[],3,FALSE)-tb_preco_shp[[#This Row],[Imposto (Nfe)]])&gt;=80,(tb_preco_shp[[#This Row],[Preço Custo]]+VLOOKUP("Faixa 2",tb_faixas_shoppe[],4,FALSE))/(1-VLOOKUP("Faixa 2",tb_faixas_shoppe[],3,FALSE)-tb_preco_shp[[#This Row],[Imposto (Nfe)]])&lt;100),(tb_preco_shp[[#This Row],[Preço Custo]]+VLOOKUP("Faixa 2",tb_faixas_shoppe[],4,FALSE))/(1-VLOOKUP("Faixa 2",tb_faixas_shoppe[],3,FALSE)-tb_preco_shp[[#This Row],[Imposto (Nfe)]]),IF(AND((tb_preco_shp[[#This Row],[Preço Custo]]+VLOOKUP("Faixa 3",tb_faixas_shoppe[],4,FALSE))/(1-VLOOKUP("Faixa 3",tb_faixas_shoppe[],3,FALSE)-tb_preco_shp[[#This Row],[Imposto (Nfe)]])&gt;=100,(tb_preco_shp[[#This Row],[Preço Custo]]+VLOOKUP("Faixa 3",tb_faixas_shoppe[],4,FALSE))/(1-VLOOKUP("Faixa 3",tb_faixas_shoppe[],3,FALSE)-tb_preco_shp[[#This Row],[Imposto (Nfe)]])&lt;200),(tb_preco_shp[[#This Row],[Preço Custo]]+VLOOKUP("Faixa 3",tb_faixas_shoppe[],4,FALSE))/(1-VLOOKUP("Faixa 3",tb_faixas_shoppe[],3,FALSE)-tb_preco_shp[[#This Row],[Imposto (Nfe)]]),IF(AND((tb_preco_shp[[#This Row],[Preço Custo]]+VLOOKUP("Faixa 4",tb_faixas_shoppe[],4,FALSE))/(1-VLOOKUP("Faixa 4",tb_faixas_shoppe[],3,FALSE)-tb_preco_shp[[#This Row],[Imposto (Nfe)]])&gt;=200,(tb_preco_shp[[#This Row],[Preço Custo]]+VLOOKUP("Faixa 4",tb_faixas_shoppe[],4,FALSE))/(1-VLOOKUP("Faixa 4",tb_faixas_shoppe[],3,FALSE)-tb_preco_shp[[#This Row],[Imposto (Nfe)]])&lt;500),(tb_preco_shp[[#This Row],[Preço Custo]]+VLOOKUP("Faixa 4",tb_faixas_shoppe[],4,FALSE))/(1-VLOOKUP("Faixa 4",tb_faixas_shoppe[],3,FALSE)-tb_preco_shp[[#This Row],[Imposto (Nfe)]]),(tb_preco_shp[[#This Row],[Preço Custo]]+VLOOKUP("Faixa 5",tb_faixas_shoppe[],4,FALSE))/(1-VLOOKUP("Faixa 5",tb_faixas_shoppe[],3,FALSE)-tb_preco_shp[[#This Row],[Imposto (Nfe)]]))))),2),""))</f>
        <v/>
      </c>
    </row>
    <row r="12" ht="22" customHeight="1">
      <c r="A12" s="195">
        <f>IF(tb_preco_shp[[#This Row],[Prefixo]]="","",VLOOKUP(tb_preco_shp[[#This Row],[Prefixo]],Auxiliar[],2,FALSE))</f>
        <v/>
      </c>
      <c r="B12" s="196">
        <f>IF(tb_preco_shp[[#This Row],[SKU]] =  "", "",IFERROR(LEFT(tb_preco_shp[[#This Row],[SKU]],FIND(".",tb_preco_shp[[#This Row],[SKU]])-1),tb_preco_shp[[#This Row],[SKU]]))</f>
        <v/>
      </c>
      <c r="C12" s="197" t="inlineStr">
        <is>
          <t>SAMUE.101.2P</t>
        </is>
      </c>
      <c r="D12" s="197" t="inlineStr">
        <is>
          <t>Camisa manga curta luxo infantil</t>
        </is>
      </c>
      <c r="E12" s="198" t="n">
        <v>23</v>
      </c>
      <c r="F12" s="199" t="n">
        <v>72.97</v>
      </c>
      <c r="G12" s="200">
        <f>tb_preco_shp[[#This Row],[Preço Cadastro DE]]-(tb_preco_shp[[#This Row],[Preço Cadastro DE]]*5%)</f>
        <v/>
      </c>
      <c r="H12" s="201" t="n"/>
      <c r="I12" s="202">
        <f>IFERROR(IF(F12="","",IF(OR(H12="",H12=0),IF(G12="","",G12),ROUND(F12*(1-H12),2))),"")</f>
        <v/>
      </c>
      <c r="J12" s="203" t="n">
        <v>0.08</v>
      </c>
      <c r="K12" s="204" t="n">
        <v>0.23</v>
      </c>
      <c r="L12" s="205">
        <f>IFERROR(IF(tb_preco_shp[[#This Row],[Estratégia de preço]]="","",IF(TEXT(tb_preco_shp[[#This Row],[Estratégia de preço]],"0%")="23%",tb_preco_shp[[#This Row],[23% de Contribuição]],IF(TEXT(tb_preco_shp[[#This Row],[Estratégia de preço]],"0%")="17%",tb_preco_shp[[#This Row],[17% de Contribuição]],IF(TEXT(tb_preco_shp[[#This Row],[Estratégia de preço]],"0%")="10%",tb_preco_shp[[#This Row],[10% de Contribuição]],IF(TEXT(tb_preco_shp[[#This Row],[Estratégia de preço]],"0%")="0%",tb_preco_shp[[#This Row],[0% de Contribuição]],""))))),"")</f>
        <v/>
      </c>
      <c r="M12" s="206">
        <f>IFERROR(IF(tb_preco_shp[[#This Row],[Estratégia de preço]]="","",MAX(0,1-IF(TEXT(tb_preco_shp[[#This Row],[Estratégia de preço]],"0%")="23%",tb_preco_shp[[#This Row],[23% de Contribuição]]/tb_preco_shp[[#This Row],[Preço Cadastro DE]],IF(TEXT(tb_preco_shp[[#This Row],[Estratégia de preço]],"0%")="17%",tb_preco_shp[[#This Row],[17% de Contribuição]]/tb_preco_shp[[#This Row],[Preço Cadastro DE]],IF(TEXT(tb_preco_shp[[#This Row],[Estratégia de preço]],"0%")="10%",tb_preco_shp[[#This Row],[10% de Contribuição]]/tb_preco_shp[[#This Row],[Preço Cadastro DE]],IF(TEXT(tb_preco_shp[[#This Row],[Estratégia de preço]],"0%")="0%",tb_preco_shp[[#This Row],[0% de Contribuição]]/tb_preco_shp[[#This Row],[Preço Cadastro DE]],1)))))),"")</f>
        <v/>
      </c>
      <c r="N12" s="207">
        <f>IFERROR(IF(OR(tb_preco_shp[[#This Row],[Preço Custo]]="",tb_preco_shp[[#This Row],[Imposto (Nfe)]]="",IF(OR(tb_preco_shp[[#This Row],[Estratégia de preço]]="",tb_preco_shp[[#This Row],[Estratégia de preço]]="Só DE/PARA",tb_preco_shp[[#This Row],[Estratégia de preço]]="Só DE/PARA"),tb_preco_shp[[#This Row],[PARA]],tb_preco_shp[[#This Row],[Preço alvo]])=""),"",IF(IF(OR(tb_preco_shp[[#This Row],[Estratégia de preço]]="",tb_preco_shp[[#This Row],[Estratégia de preço]]="Só DE/PARA",tb_preco_shp[[#This Row],[Estratégia de preço]]="Só DE/PARA"),tb_preco_shp[[#This Row],[PARA]],tb_preco_shp[[#This Row],[Preço alvo]])&lt;=79.99,"Faixa 1",IF(IF(OR(tb_preco_shp[[#This Row],[Estratégia de preço]]="",tb_preco_shp[[#This Row],[Estratégia de preço]]="Só DE/PARA",tb_preco_shp[[#This Row],[Estratégia de preço]]="Só DE/PARA"),tb_preco_shp[[#This Row],[PARA]],tb_preco_shp[[#This Row],[Preço alvo]])&lt;=99.99,"Faixa 2",IF(IF(OR(tb_preco_shp[[#This Row],[Estratégia de preço]]="",tb_preco_shp[[#This Row],[Estratégia de preço]]="Só DE/PARA",tb_preco_shp[[#This Row],[Estratégia de preço]]="Só DE/PARA"),tb_preco_shp[[#This Row],[PARA]],tb_preco_shp[[#This Row],[Preço alvo]])&lt;=199.99,"Faixa 3",IF(IF(OR(tb_preco_shp[[#This Row],[Estratégia de preço]]="",tb_preco_shp[[#This Row],[Estratégia de preço]]="Só DE/PARA",tb_preco_shp[[#This Row],[Estratégia de preço]]="Só DE/PARA"),tb_preco_shp[[#This Row],[PARA]],tb_preco_shp[[#This Row],[Preço alvo]])&lt;=499.99,"Faixa 4","Faixa 5"))))),"")</f>
        <v/>
      </c>
      <c r="O12" s="208">
        <f>IFERROR(IF(OR(tb_preco_shp[[#This Row],[Preço Custo]]="",tb_preco_shp[[#This Row],[Imposto (Nfe)]]="",IF(OR(tb_preco_shp[[#This Row],[Estratégia de preço]]="",tb_preco_shp[[#This Row],[Estratégia de preço]]="Selecionar Estratégia",tb_preco_shp[[#This Row],[Estratégia de preço]]="Só DE/PARA"),tb_preco_shp[[#This Row],[PARA]],tb_preco_shp[[#This Row],[Preço alvo]])=""),"",(IF(OR(tb_preco_shp[[#This Row],[Estratégia de preço]]="",tb_preco_shp[[#This Row],[Estratégia de preço]]="Selecionar Estratégia",tb_preco_shp[[#This Row],[Estratégia de preço]]="Só DE/PARA"),tb_preco_shp[[#This Row],[PARA]],tb_preco_shp[[#This Row],[Preço alvo]])-((IF(OR(tb_preco_shp[[#This Row],[Estratégia de preço]]="",tb_preco_shp[[#This Row],[Estratégia de preço]]="Selecionar Estratégia",tb_preco_shp[[#This Row],[Estratégia de preço]]="Só DE/PARA"),tb_preco_shp[[#This Row],[PARA]],tb_preco_shp[[#This Row],[Preço alvo]])*(IF(IF(OR(tb_preco_shp[[#This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alvo]])&lt;=79.99,20%,14%)+tb_preco_shp[[#This Row],[Imposto (Nfe)]]))+IF(IF(OR(tb_preco_shp[[#This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alvo]])&lt;=79.99,4,IF(IF(OR(tb_preco_shp[[#This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alvo]])&lt;=99.99,16,IF(IF(OR(tb_preco_shp[[#This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alvo]])&lt;=199.99,20,IF(IF(OR(tb_preco_shp[[#This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alvo]])&lt;=499.99,26,28)))))-tb_preco_shp[[#This Row],[Preço Custo]])/IF(OR(tb_preco_shp[[#This Row],[Estratégia de preço]]="",tb_preco_shp[[#This Row],[Estratégia de preço]]="Selecionar Estratégia",tb_preco_shp[[#This Row],[Estratégia de preço]]="Só DE/PARA"),tb_preco_shp[[#This Row],[PARA]],tb_preco_shp[[#This Row],[Preço alvo]])),"")</f>
        <v/>
      </c>
      <c r="P12" s="209">
        <f>IFERROR(IF(OR(tb_preco_shp[[#This Row],[Preço Custo]]="",tb_preco_shp[[#This Row],[Imposto (Nfe)]]="",tb_preco_shp[[#This Row],[Taxa]]="",IF(OR(tb_preco_shp[[#This Row],[Estratégia de preço]]="",tb_preco_shp[[#This Row],[Estratégia de preço]]="Só DE/PARA"),tb_preco_shp[[#This Row],[PARA]],tb_preco_shp[[#This Row],[Preço alvo]])=""),"",IF(OR(tb_preco_shp[[#This Row],[Estratégia de preço]]="",tb_preco_shp[[#This Row],[Estratégia de preço]]="Só DE/PARA"),tb_preco_shp[[#This Row],[PARA]],tb_preco_shp[[#This Row],[Preço alvo]])-((IF(OR(tb_preco_shp[[#This Row],[Estratégia de preço]]="",tb_preco_shp[[#This Row],[Estratégia de preço]]="Só DE/PARA"),tb_preco_shp[[#This Row],[PARA]],tb_preco_shp[[#This Row],[Preço alvo]])*(VLOOKUP(TRIM(tb_preco_shp[[#This Row],[Taxa]]),tb_faixas_shoppe[],3,FALSE)+tb_preco_shp[[#This Row],[Imposto (Nfe)]]))+VLOOKUP(TRIM(tb_preco_shp[[#This Row],[Taxa]]),tb_faixas_shoppe[],4,FALSE))-tb_preco_shp[[#This Row],[Preço Custo]]),"")</f>
        <v/>
      </c>
      <c r="Q12" s="210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(Nfe)]]-35%)&lt;=79.99,( tb_preco_shp[[#This Row],[Preço Custo]]+VLOOKUP("Faixa 1",tb_faixas_shoppe[],4,FALSE) )/(1-VLOOKUP("Faixa 1",tb_faixas_shoppe[],3,FALSE)-tb_preco_shp[[#This Row],[Imposto (Nfe)]]-35%),IF(AND((tb_preco_shp[[#This Row],[Preço Custo]]+VLOOKUP("Faixa 2",tb_faixas_shoppe[],4,FALSE))/(1-VLOOKUP("Faixa 2",tb_faixas_shoppe[],3,FALSE)-tb_preco_shp[[#This Row],[Imposto (Nfe)]]-35%)&gt;=80,( tb_preco_shp[[#This Row],[Preço Custo]]+VLOOKUP("Faixa 2",tb_faixas_shoppe[],4,FALSE) )/(1-VLOOKUP("Faixa 2",tb_faixas_shoppe[],3,FALSE)-tb_preco_shp[[#This Row],[Imposto (Nfe)]]-35%)&lt;100),( tb_preco_shp[[#This Row],[Preço Custo]]+VLOOKUP("Faixa 2",tb_faixas_shoppe[],4,FALSE) )/(1-VLOOKUP("Faixa 2",tb_faixas_shoppe[],3,FALSE)-tb_preco_shp[[#This Row],[Imposto (Nfe)]]-35%),IF(AND((tb_preco_shp[[#This Row],[Preço Custo]]+VLOOKUP("Faixa 3",tb_faixas_shoppe[],4,FALSE))/(1-VLOOKUP("Faixa 3",tb_faixas_shoppe[],3,FALSE)-tb_preco_shp[[#This Row],[Imposto (Nfe)]]-35%)&gt;=100,( tb_preco_shp[[#This Row],[Preço Custo]]+VLOOKUP("Faixa 3",tb_faixas_shoppe[],4,FALSE) )/(1-VLOOKUP("Faixa 3",tb_faixas_shoppe[],3,FALSE)-tb_preco_shp[[#This Row],[Imposto (Nfe)]]-35%)&lt;200),( tb_preco_shp[[#This Row],[Preço Custo]]+VLOOKUP("Faixa 3",tb_faixas_shoppe[],4,FALSE) )/(1-VLOOKUP("Faixa 3",tb_faixas_shoppe[],3,FALSE)-tb_preco_shp[[#This Row],[Imposto (Nfe)]]-35%),IF(AND((tb_preco_shp[[#This Row],[Preço Custo]]+VLOOKUP("Faixa 4",tb_faixas_shoppe[],4,FALSE))/(1-VLOOKUP("Faixa 4",tb_faixas_shoppe[],3,FALSE)-tb_preco_shp[[#This Row],[Imposto (Nfe)]]-35%)&gt;=200,( tb_preco_shp[[#This Row],[Preço Custo]]+VLOOKUP("Faixa 4",tb_faixas_shoppe[],4,FALSE) )/(1-VLOOKUP("Faixa 4",tb_faixas_shoppe[],3,FALSE)-tb_preco_shp[[#This Row],[Imposto (Nfe)]]-35%)&lt;500),( tb_preco_shp[[#This Row],[Preço Custo]]+VLOOKUP("Faixa 4",tb_faixas_shoppe[],4,FALSE) )/(1-VLOOKUP("Faixa 4",tb_faixas_shoppe[],3,FALSE)-tb_preco_shp[[#This Row],[Imposto (Nfe)]]-35%),( tb_preco_shp[[#This Row],[Preço Custo]]+VLOOKUP("Faixa 5",tb_faixas_shoppe[],4,FALSE) )/(1-VLOOKUP("Faixa 5",tb_faixas_shoppe[],3,FALSE)-tb_preco_shp[[#This Row],[Imposto (Nfe)]]-35%))))),2),""))</f>
        <v/>
      </c>
      <c r="R12" s="211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(Nfe)]]-30%)&lt;=79.99,(tb_preco_shp[[#This Row],[Preço Custo]]+VLOOKUP("Faixa 1",tb_faixas_shoppe[],4,FALSE))/(1-VLOOKUP("Faixa 1",tb_faixas_shoppe[],3,FALSE)-tb_preco_shp[[#This Row],[Imposto (Nfe)]]-30%),IF(AND((tb_preco_shp[[#This Row],[Preço Custo]]+VLOOKUP("Faixa 2",tb_faixas_shoppe[],4,FALSE))/(1-VLOOKUP("Faixa 2",tb_faixas_shoppe[],3,FALSE)-tb_preco_shp[[#This Row],[Imposto (Nfe)]]-30%)&gt;=80,(tb_preco_shp[[#This Row],[Preço Custo]]+VLOOKUP("Faixa 2",tb_faixas_shoppe[],4,FALSE))/(1-VLOOKUP("Faixa 2",tb_faixas_shoppe[],3,FALSE)-tb_preco_shp[[#This Row],[Imposto (Nfe)]]-30%)&lt;100),(tb_preco_shp[[#This Row],[Preço Custo]]+VLOOKUP("Faixa 2",tb_faixas_shoppe[],4,FALSE))/(1-VLOOKUP("Faixa 2",tb_faixas_shoppe[],3,FALSE)-tb_preco_shp[[#This Row],[Imposto (Nfe)]]-30%),IF(AND((tb_preco_shp[[#This Row],[Preço Custo]]+VLOOKUP("Faixa 3",tb_faixas_shoppe[],4,FALSE))/(1-VLOOKUP("Faixa 3",tb_faixas_shoppe[],3,FALSE)-tb_preco_shp[[#This Row],[Imposto (Nfe)]]-30%)&gt;=100,(tb_preco_shp[[#This Row],[Preço Custo]]+VLOOKUP("Faixa 3",tb_faixas_shoppe[],4,FALSE))/(1-VLOOKUP("Faixa 3",tb_faixas_shoppe[],3,FALSE)-tb_preco_shp[[#This Row],[Imposto (Nfe)]]-30%)&lt;200),(tb_preco_shp[[#This Row],[Preço Custo]]+VLOOKUP("Faixa 3",tb_faixas_shoppe[],4,FALSE))/(1-VLOOKUP("Faixa 3",tb_faixas_shoppe[],3,FALSE)-tb_preco_shp[[#This Row],[Imposto (Nfe)]]-30%),IF(AND((tb_preco_shp[[#This Row],[Preço Custo]]+VLOOKUP("Faixa 4",tb_faixas_shoppe[],4,FALSE))/(1-VLOOKUP("Faixa 4",tb_faixas_shoppe[],3,FALSE)-tb_preco_shp[[#This Row],[Imposto (Nfe)]]-30%)&gt;=200,(tb_preco_shp[[#This Row],[Preço Custo]]+VLOOKUP("Faixa 4",tb_faixas_shoppe[],4,FALSE))/(1-VLOOKUP("Faixa 4",tb_faixas_shoppe[],3,FALSE)-tb_preco_shp[[#This Row],[Imposto (Nfe)]]-30%)&lt;500),(tb_preco_shp[[#This Row],[Preço Custo]]+VLOOKUP("Faixa 4",tb_faixas_shoppe[],4,FALSE))/(1-VLOOKUP("Faixa 4",tb_faixas_shoppe[],3,FALSE)-tb_preco_shp[[#This Row],[Imposto (Nfe)]]-30%),(tb_preco_shp[[#This Row],[Preço Custo]]+VLOOKUP("Faixa 5",tb_faixas_shoppe[],4,FALSE))/(1-VLOOKUP("Faixa 5",tb_faixas_shoppe[],3,FALSE)-tb_preco_shp[[#This Row],[Imposto (Nfe)]]-30%))))),2),""))</f>
        <v/>
      </c>
      <c r="S12" s="211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(Nfe)]]-23%)&lt;=79.99,(tb_preco_shp[[#This Row],[Preço Custo]]+VLOOKUP("Faixa 1",tb_faixas_shoppe[],4,FALSE))/(1-VLOOKUP("Faixa 1",tb_faixas_shoppe[],3,FALSE)-tb_preco_shp[[#This Row],[Imposto (Nfe)]]-23%),IF(AND((tb_preco_shp[[#This Row],[Preço Custo]]+VLOOKUP("Faixa 2",tb_faixas_shoppe[],4,FALSE))/(1-VLOOKUP("Faixa 2",tb_faixas_shoppe[],3,FALSE)-tb_preco_shp[[#This Row],[Imposto (Nfe)]]-23%)&gt;=80,(tb_preco_shp[[#This Row],[Preço Custo]]+VLOOKUP("Faixa 2",tb_faixas_shoppe[],4,FALSE))/(1-VLOOKUP("Faixa 2",tb_faixas_shoppe[],3,FALSE)-tb_preco_shp[[#This Row],[Imposto (Nfe)]]-23%)&lt;100),(tb_preco_shp[[#This Row],[Preço Custo]]+VLOOKUP("Faixa 2",tb_faixas_shoppe[],4,FALSE))/(1-VLOOKUP("Faixa 2",tb_faixas_shoppe[],3,FALSE)-tb_preco_shp[[#This Row],[Imposto (Nfe)]]-23%),IF(AND((tb_preco_shp[[#This Row],[Preço Custo]]+VLOOKUP("Faixa 3",tb_faixas_shoppe[],4,FALSE))/(1-VLOOKUP("Faixa 3",tb_faixas_shoppe[],3,FALSE)-tb_preco_shp[[#This Row],[Imposto (Nfe)]]-23%)&gt;=100,(tb_preco_shp[[#This Row],[Preço Custo]]+VLOOKUP("Faixa 3",tb_faixas_shoppe[],4,FALSE))/(1-VLOOKUP("Faixa 3",tb_faixas_shoppe[],3,FALSE)-tb_preco_shp[[#This Row],[Imposto (Nfe)]]-23%)&lt;200),(tb_preco_shp[[#This Row],[Preço Custo]]+VLOOKUP("Faixa 3",tb_faixas_shoppe[],4,FALSE))/(1-VLOOKUP("Faixa 3",tb_faixas_shoppe[],3,FALSE)-tb_preco_shp[[#This Row],[Imposto (Nfe)]]-23%),IF(AND((tb_preco_shp[[#This Row],[Preço Custo]]+VLOOKUP("Faixa 4",tb_faixas_shoppe[],4,FALSE))/(1-VLOOKUP("Faixa 4",tb_faixas_shoppe[],3,FALSE)-tb_preco_shp[[#This Row],[Imposto (Nfe)]]-23%)&gt;=200,(tb_preco_shp[[#This Row],[Preço Custo]]+VLOOKUP("Faixa 4",tb_faixas_shoppe[],4,FALSE))/(1-VLOOKUP("Faixa 4",tb_faixas_shoppe[],3,FALSE)-tb_preco_shp[[#This Row],[Imposto (Nfe)]]-23%)&lt;500),(tb_preco_shp[[#This Row],[Preço Custo]]+VLOOKUP("Faixa 4",tb_faixas_shoppe[],4,FALSE))/(1-VLOOKUP("Faixa 4",tb_faixas_shoppe[],3,FALSE)-tb_preco_shp[[#This Row],[Imposto (Nfe)]]-23%),(tb_preco_shp[[#This Row],[Preço Custo]]+VLOOKUP("Faixa 5",tb_faixas_shoppe[],4,FALSE))/(1-VLOOKUP("Faixa 5",tb_faixas_shoppe[],3,FALSE)-tb_preco_shp[[#This Row],[Imposto (Nfe)]]-23%))))),2),""))</f>
        <v/>
      </c>
      <c r="T12" s="210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(Nfe)]]-17%)&lt;=79.99,(tb_preco_shp[[#This Row],[Preço Custo]]+VLOOKUP("Faixa 1",tb_faixas_shoppe[],4,FALSE))/(1-VLOOKUP("Faixa 1",tb_faixas_shoppe[],3,FALSE)-tb_preco_shp[[#This Row],[Imposto (Nfe)]]-17%),IF(AND((tb_preco_shp[[#This Row],[Preço Custo]]+VLOOKUP("Faixa 2",tb_faixas_shoppe[],4,FALSE))/(1-VLOOKUP("Faixa 2",tb_faixas_shoppe[],3,FALSE)-tb_preco_shp[[#This Row],[Imposto (Nfe)]]-17%)&gt;=80,(tb_preco_shp[[#This Row],[Preço Custo]]+VLOOKUP("Faixa 2",tb_faixas_shoppe[],4,FALSE))/(1-VLOOKUP("Faixa 2",tb_faixas_shoppe[],3,FALSE)-tb_preco_shp[[#This Row],[Imposto (Nfe)]]-17%)&lt;100),(tb_preco_shp[[#This Row],[Preço Custo]]+VLOOKUP("Faixa 2",tb_faixas_shoppe[],4,FALSE))/(1-VLOOKUP("Faixa 2",tb_faixas_shoppe[],3,FALSE)-tb_preco_shp[[#This Row],[Imposto (Nfe)]]-17%),IF(AND((tb_preco_shp[[#This Row],[Preço Custo]]+VLOOKUP("Faixa 3",tb_faixas_shoppe[],4,FALSE))/(1-VLOOKUP("Faixa 3",tb_faixas_shoppe[],3,FALSE)-tb_preco_shp[[#This Row],[Imposto (Nfe)]]-17%)&gt;=100,(tb_preco_shp[[#This Row],[Preço Custo]]+VLOOKUP("Faixa 3",tb_faixas_shoppe[],4,FALSE))/(1-VLOOKUP("Faixa 3",tb_faixas_shoppe[],3,FALSE)-tb_preco_shp[[#This Row],[Imposto (Nfe)]]-17%)&lt;200),(tb_preco_shp[[#This Row],[Preço Custo]]+VLOOKUP("Faixa 3",tb_faixas_shoppe[],4,FALSE))/(1-VLOOKUP("Faixa 3",tb_faixas_shoppe[],3,FALSE)-tb_preco_shp[[#This Row],[Imposto (Nfe)]]-17%),IF(AND((tb_preco_shp[[#This Row],[Preço Custo]]+VLOOKUP("Faixa 4",tb_faixas_shoppe[],4,FALSE))/(1-VLOOKUP("Faixa 4",tb_faixas_shoppe[],3,FALSE)-tb_preco_shp[[#This Row],[Imposto (Nfe)]]-17%)&gt;=200,(tb_preco_shp[[#This Row],[Preço Custo]]+VLOOKUP("Faixa 4",tb_faixas_shoppe[],4,FALSE))/(1-VLOOKUP("Faixa 4",tb_faixas_shoppe[],3,FALSE)-tb_preco_shp[[#This Row],[Imposto (Nfe)]]-17%)&lt;500),(tb_preco_shp[[#This Row],[Preço Custo]]+VLOOKUP("Faixa 4",tb_faixas_shoppe[],4,FALSE))/(1-VLOOKUP("Faixa 4",tb_faixas_shoppe[],3,FALSE)-tb_preco_shp[[#This Row],[Imposto (Nfe)]]-17%),(tb_preco_shp[[#This Row],[Preço Custo]]+VLOOKUP("Faixa 5",tb_faixas_shoppe[],4,FALSE))/(1-VLOOKUP("Faixa 5",tb_faixas_shoppe[],3,FALSE)-tb_preco_shp[[#This Row],[Imposto (Nfe)]]-17%))))),2),""))</f>
        <v/>
      </c>
      <c r="U12" s="211">
        <f>IF(tb_preco_shp[[#This Row],[Preço Custo]]="","",IFERROR(
ROUND(
IF((tb_preco_shp[[#This Row],[Preço Custo]]+4)/(1-28%-10%)&lt;80,
   (tb_preco_shp[[#This Row],[Preço Custo]]+4)/(1-28%-10%),
   IF(AND((tb_preco_shp[[#This Row],[Preço Custo]]+16)/(1-22%-10%)&gt;=80, (tb_preco_shp[[#This Row],[Preço Custo]]+16)/(1-22%-10%)&lt;100),
      (tb_preco_shp[[#This Row],[Preço Custo]]+16)/(1-22%-10%),
      IF(AND((tb_preco_shp[[#This Row],[Preço Custo]]+20)/(1-22%-10%)&gt;=100, (tb_preco_shp[[#This Row],[Preço Custo]]+20)/(1-22%-10%)&lt;200),
         (tb_preco_shp[[#This Row],[Preço Custo]]+20)/(1-22%-10%),
         IF(AND((tb_preco_shp[[#This Row],[Preço Custo]]+26)/(1-22%-10%)&gt;=200, (tb_preco_shp[[#This Row],[Preço Custo]]+26)/(1-22%-10%)&lt;500),
            (tb_preco_shp[[#This Row],[Preço Custo]]+26)/(1-22%-10%),
            (tb_preco_shp[[#This Row],[Preço Custo]]+28)/(1-22%-10%)
         )
      )
   )
),2),""))</f>
        <v/>
      </c>
      <c r="V12" s="211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(Nfe)]])&lt;=79.99,(tb_preco_shp[[#This Row],[Preço Custo]]+VLOOKUP("Faixa 1",tb_faixas_shoppe[],4,FALSE))/(1-VLOOKUP("Faixa 1",tb_faixas_shoppe[],3,FALSE)-tb_preco_shp[[#This Row],[Imposto (Nfe)]]),IF(AND((tb_preco_shp[[#This Row],[Preço Custo]]+VLOOKUP("Faixa 2",tb_faixas_shoppe[],4,FALSE))/(1-VLOOKUP("Faixa 2",tb_faixas_shoppe[],3,FALSE)-tb_preco_shp[[#This Row],[Imposto (Nfe)]])&gt;=80,(tb_preco_shp[[#This Row],[Preço Custo]]+VLOOKUP("Faixa 2",tb_faixas_shoppe[],4,FALSE))/(1-VLOOKUP("Faixa 2",tb_faixas_shoppe[],3,FALSE)-tb_preco_shp[[#This Row],[Imposto (Nfe)]])&lt;100),(tb_preco_shp[[#This Row],[Preço Custo]]+VLOOKUP("Faixa 2",tb_faixas_shoppe[],4,FALSE))/(1-VLOOKUP("Faixa 2",tb_faixas_shoppe[],3,FALSE)-tb_preco_shp[[#This Row],[Imposto (Nfe)]]),IF(AND((tb_preco_shp[[#This Row],[Preço Custo]]+VLOOKUP("Faixa 3",tb_faixas_shoppe[],4,FALSE))/(1-VLOOKUP("Faixa 3",tb_faixas_shoppe[],3,FALSE)-tb_preco_shp[[#This Row],[Imposto (Nfe)]])&gt;=100,(tb_preco_shp[[#This Row],[Preço Custo]]+VLOOKUP("Faixa 3",tb_faixas_shoppe[],4,FALSE))/(1-VLOOKUP("Faixa 3",tb_faixas_shoppe[],3,FALSE)-tb_preco_shp[[#This Row],[Imposto (Nfe)]])&lt;200),(tb_preco_shp[[#This Row],[Preço Custo]]+VLOOKUP("Faixa 3",tb_faixas_shoppe[],4,FALSE))/(1-VLOOKUP("Faixa 3",tb_faixas_shoppe[],3,FALSE)-tb_preco_shp[[#This Row],[Imposto (Nfe)]]),IF(AND((tb_preco_shp[[#This Row],[Preço Custo]]+VLOOKUP("Faixa 4",tb_faixas_shoppe[],4,FALSE))/(1-VLOOKUP("Faixa 4",tb_faixas_shoppe[],3,FALSE)-tb_preco_shp[[#This Row],[Imposto (Nfe)]])&gt;=200,(tb_preco_shp[[#This Row],[Preço Custo]]+VLOOKUP("Faixa 4",tb_faixas_shoppe[],4,FALSE))/(1-VLOOKUP("Faixa 4",tb_faixas_shoppe[],3,FALSE)-tb_preco_shp[[#This Row],[Imposto (Nfe)]])&lt;500),(tb_preco_shp[[#This Row],[Preço Custo]]+VLOOKUP("Faixa 4",tb_faixas_shoppe[],4,FALSE))/(1-VLOOKUP("Faixa 4",tb_faixas_shoppe[],3,FALSE)-tb_preco_shp[[#This Row],[Imposto (Nfe)]]),(tb_preco_shp[[#This Row],[Preço Custo]]+VLOOKUP("Faixa 5",tb_faixas_shoppe[],4,FALSE))/(1-VLOOKUP("Faixa 5",tb_faixas_shoppe[],3,FALSE)-tb_preco_shp[[#This Row],[Imposto (Nfe)]]))))),2),""))</f>
        <v/>
      </c>
    </row>
    <row r="13" ht="22" customHeight="1">
      <c r="A13" s="195">
        <f>IF(tb_preco_shp[[#This Row],[Prefixo]]="","",VLOOKUP(tb_preco_shp[[#This Row],[Prefixo]],Auxiliar[],2,FALSE))</f>
        <v/>
      </c>
      <c r="B13" s="212">
        <f>IF(tb_preco_shp[[#This Row],[SKU]] =  "", "",IFERROR(LEFT(tb_preco_shp[[#This Row],[SKU]],FIND(".",tb_preco_shp[[#This Row],[SKU]])-1),tb_preco_shp[[#This Row],[SKU]]))</f>
        <v/>
      </c>
      <c r="C13" s="196" t="inlineStr">
        <is>
          <t>PERNA.102.1P</t>
        </is>
      </c>
      <c r="D13" s="197" t="inlineStr">
        <is>
          <t>Colete Jeans Feminino</t>
        </is>
      </c>
      <c r="E13" s="198" t="n">
        <v>27</v>
      </c>
      <c r="F13" s="199" t="n">
        <v>109.81</v>
      </c>
      <c r="G13" s="200">
        <f>tb_preco_shp[[#This Row],[Preço Cadastro DE]]-(tb_preco_shp[[#This Row],[Preço Cadastro DE]]*5%)</f>
        <v/>
      </c>
      <c r="H13" s="201" t="n"/>
      <c r="I13" s="202">
        <f>IFERROR(IF(F13="","",IF(OR(H13="",H13=0),IF(G13="","",G13),ROUND(F13*(1-H13),2))),"")</f>
        <v/>
      </c>
      <c r="J13" s="203" t="n">
        <v>0.08</v>
      </c>
      <c r="K13" s="204" t="n">
        <v>0.23</v>
      </c>
      <c r="L13" s="205">
        <f>IFERROR(IF(tb_preco_shp[[#This Row],[Estratégia de preço]]="","",IF(TEXT(tb_preco_shp[[#This Row],[Estratégia de preço]],"0%")="23%",tb_preco_shp[[#This Row],[23% de Contribuição]],IF(TEXT(tb_preco_shp[[#This Row],[Estratégia de preço]],"0%")="17%",tb_preco_shp[[#This Row],[17% de Contribuição]],IF(TEXT(tb_preco_shp[[#This Row],[Estratégia de preço]],"0%")="10%",tb_preco_shp[[#This Row],[10% de Contribuição]],IF(TEXT(tb_preco_shp[[#This Row],[Estratégia de preço]],"0%")="0%",tb_preco_shp[[#This Row],[0% de Contribuição]],""))))),"")</f>
        <v/>
      </c>
      <c r="M13" s="206">
        <f>IFERROR(IF(tb_preco_shp[[#This Row],[Estratégia de preço]]="","",MAX(0,1-IF(TEXT(tb_preco_shp[[#This Row],[Estratégia de preço]],"0%")="23%",tb_preco_shp[[#This Row],[23% de Contribuição]]/tb_preco_shp[[#This Row],[Preço Cadastro DE]],IF(TEXT(tb_preco_shp[[#This Row],[Estratégia de preço]],"0%")="17%",tb_preco_shp[[#This Row],[17% de Contribuição]]/tb_preco_shp[[#This Row],[Preço Cadastro DE]],IF(TEXT(tb_preco_shp[[#This Row],[Estratégia de preço]],"0%")="10%",tb_preco_shp[[#This Row],[10% de Contribuição]]/tb_preco_shp[[#This Row],[Preço Cadastro DE]],IF(TEXT(tb_preco_shp[[#This Row],[Estratégia de preço]],"0%")="0%",tb_preco_shp[[#This Row],[0% de Contribuição]]/tb_preco_shp[[#This Row],[Preço Cadastro DE]],1)))))),"")</f>
        <v/>
      </c>
      <c r="N13" s="207">
        <f>IFERROR(IF(OR(tb_preco_shp[[#This Row],[Preço Custo]]="",tb_preco_shp[[#This Row],[Imposto (Nfe)]]="",IF(OR(tb_preco_shp[[#This Row],[Estratégia de preço]]="",tb_preco_shp[[#This Row],[Estratégia de preço]]="Só DE/PARA",tb_preco_shp[[#This Row],[Estratégia de preço]]="Só DE/PARA"),tb_preco_shp[[#This Row],[PARA]],tb_preco_shp[[#This Row],[Preço alvo]])=""),"",IF(IF(OR(tb_preco_shp[[#This Row],[Estratégia de preço]]="",tb_preco_shp[[#This Row],[Estratégia de preço]]="Só DE/PARA",tb_preco_shp[[#This Row],[Estratégia de preço]]="Só DE/PARA"),tb_preco_shp[[#This Row],[PARA]],tb_preco_shp[[#This Row],[Preço alvo]])&lt;=79.99,"Faixa 1",IF(IF(OR(tb_preco_shp[[#This Row],[Estratégia de preço]]="",tb_preco_shp[[#This Row],[Estratégia de preço]]="Só DE/PARA",tb_preco_shp[[#This Row],[Estratégia de preço]]="Só DE/PARA"),tb_preco_shp[[#This Row],[PARA]],tb_preco_shp[[#This Row],[Preço alvo]])&lt;=99.99,"Faixa 2",IF(IF(OR(tb_preco_shp[[#This Row],[Estratégia de preço]]="",tb_preco_shp[[#This Row],[Estratégia de preço]]="Só DE/PARA",tb_preco_shp[[#This Row],[Estratégia de preço]]="Só DE/PARA"),tb_preco_shp[[#This Row],[PARA]],tb_preco_shp[[#This Row],[Preço alvo]])&lt;=199.99,"Faixa 3",IF(IF(OR(tb_preco_shp[[#This Row],[Estratégia de preço]]="",tb_preco_shp[[#This Row],[Estratégia de preço]]="Só DE/PARA",tb_preco_shp[[#This Row],[Estratégia de preço]]="Só DE/PARA"),tb_preco_shp[[#This Row],[PARA]],tb_preco_shp[[#This Row],[Preço alvo]])&lt;=499.99,"Faixa 4","Faixa 5"))))),"")</f>
        <v/>
      </c>
      <c r="O13" s="208">
        <f>IFERROR(IF(OR(tb_preco_shp[[#This Row],[Preço Custo]]="",tb_preco_shp[[#This Row],[Imposto (Nfe)]]="",IF(OR(tb_preco_shp[[#This Row],[Estratégia de preço]]="",tb_preco_shp[[#This Row],[Estratégia de preço]]="Selecionar Estratégia",tb_preco_shp[[#This Row],[Estratégia de preço]]="Só DE/PARA"),tb_preco_shp[[#This Row],[PARA]],tb_preco_shp[[#This Row],[Preço alvo]])=""),"",(IF(OR(tb_preco_shp[[#This Row],[Estratégia de preço]]="",tb_preco_shp[[#This Row],[Estratégia de preço]]="Selecionar Estratégia",tb_preco_shp[[#This Row],[Estratégia de preço]]="Só DE/PARA"),tb_preco_shp[[#This Row],[PARA]],tb_preco_shp[[#This Row],[Preço alvo]])-((IF(OR(tb_preco_shp[[#This Row],[Estratégia de preço]]="",tb_preco_shp[[#This Row],[Estratégia de preço]]="Selecionar Estratégia",tb_preco_shp[[#This Row],[Estratégia de preço]]="Só DE/PARA"),tb_preco_shp[[#This Row],[PARA]],tb_preco_shp[[#This Row],[Preço alvo]])*(IF(IF(OR(tb_preco_shp[[#This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alvo]])&lt;=79.99,20%,14%)+tb_preco_shp[[#This Row],[Imposto (Nfe)]]))+IF(IF(OR(tb_preco_shp[[#This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alvo]])&lt;=79.99,4,IF(IF(OR(tb_preco_shp[[#This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alvo]])&lt;=99.99,16,IF(IF(OR(tb_preco_shp[[#This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alvo]])&lt;=199.99,20,IF(IF(OR(tb_preco_shp[[#This Row],[Estratégia de preço]]="",tb_preco_shp[[#This Row],[Estratégia de preço]]="Selecionar Estratégia",tb_preco_shp[[#This Row],[Estratégia de preço]]="Só DE/PARA"),tb_preco_shp[[#This Row],[PARA]],tb_preco_shp[[#This Row],[Preço alvo]])&lt;=499.99,26,28)))))-tb_preco_shp[[#This Row],[Preço Custo]])/IF(OR(tb_preco_shp[[#This Row],[Estratégia de preço]]="",tb_preco_shp[[#This Row],[Estratégia de preço]]="Selecionar Estratégia",tb_preco_shp[[#This Row],[Estratégia de preço]]="Só DE/PARA"),tb_preco_shp[[#This Row],[PARA]],tb_preco_shp[[#This Row],[Preço alvo]])),"")</f>
        <v/>
      </c>
      <c r="P13" s="209">
        <f>IFERROR(IF(OR(tb_preco_shp[[#This Row],[Preço Custo]]="",tb_preco_shp[[#This Row],[Imposto (Nfe)]]="",tb_preco_shp[[#This Row],[Taxa]]="",IF(OR(tb_preco_shp[[#This Row],[Estratégia de preço]]="",tb_preco_shp[[#This Row],[Estratégia de preço]]="Só DE/PARA"),tb_preco_shp[[#This Row],[PARA]],tb_preco_shp[[#This Row],[Preço alvo]])=""),"",IF(OR(tb_preco_shp[[#This Row],[Estratégia de preço]]="",tb_preco_shp[[#This Row],[Estratégia de preço]]="Só DE/PARA"),tb_preco_shp[[#This Row],[PARA]],tb_preco_shp[[#This Row],[Preço alvo]])-((IF(OR(tb_preco_shp[[#This Row],[Estratégia de preço]]="",tb_preco_shp[[#This Row],[Estratégia de preço]]="Só DE/PARA"),tb_preco_shp[[#This Row],[PARA]],tb_preco_shp[[#This Row],[Preço alvo]])*(VLOOKUP(TRIM(tb_preco_shp[[#This Row],[Taxa]]),tb_faixas_shoppe[],3,FALSE)+tb_preco_shp[[#This Row],[Imposto (Nfe)]]))+VLOOKUP(TRIM(tb_preco_shp[[#This Row],[Taxa]]),tb_faixas_shoppe[],4,FALSE))-tb_preco_shp[[#This Row],[Preço Custo]]),"")</f>
        <v/>
      </c>
      <c r="Q13" s="210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(Nfe)]]-35%)&lt;=79.99,( tb_preco_shp[[#This Row],[Preço Custo]]+VLOOKUP("Faixa 1",tb_faixas_shoppe[],4,FALSE) )/(1-VLOOKUP("Faixa 1",tb_faixas_shoppe[],3,FALSE)-tb_preco_shp[[#This Row],[Imposto (Nfe)]]-35%),IF(AND((tb_preco_shp[[#This Row],[Preço Custo]]+VLOOKUP("Faixa 2",tb_faixas_shoppe[],4,FALSE))/(1-VLOOKUP("Faixa 2",tb_faixas_shoppe[],3,FALSE)-tb_preco_shp[[#This Row],[Imposto (Nfe)]]-35%)&gt;=80,( tb_preco_shp[[#This Row],[Preço Custo]]+VLOOKUP("Faixa 2",tb_faixas_shoppe[],4,FALSE) )/(1-VLOOKUP("Faixa 2",tb_faixas_shoppe[],3,FALSE)-tb_preco_shp[[#This Row],[Imposto (Nfe)]]-35%)&lt;100),( tb_preco_shp[[#This Row],[Preço Custo]]+VLOOKUP("Faixa 2",tb_faixas_shoppe[],4,FALSE) )/(1-VLOOKUP("Faixa 2",tb_faixas_shoppe[],3,FALSE)-tb_preco_shp[[#This Row],[Imposto (Nfe)]]-35%),IF(AND((tb_preco_shp[[#This Row],[Preço Custo]]+VLOOKUP("Faixa 3",tb_faixas_shoppe[],4,FALSE))/(1-VLOOKUP("Faixa 3",tb_faixas_shoppe[],3,FALSE)-tb_preco_shp[[#This Row],[Imposto (Nfe)]]-35%)&gt;=100,( tb_preco_shp[[#This Row],[Preço Custo]]+VLOOKUP("Faixa 3",tb_faixas_shoppe[],4,FALSE) )/(1-VLOOKUP("Faixa 3",tb_faixas_shoppe[],3,FALSE)-tb_preco_shp[[#This Row],[Imposto (Nfe)]]-35%)&lt;200),( tb_preco_shp[[#This Row],[Preço Custo]]+VLOOKUP("Faixa 3",tb_faixas_shoppe[],4,FALSE) )/(1-VLOOKUP("Faixa 3",tb_faixas_shoppe[],3,FALSE)-tb_preco_shp[[#This Row],[Imposto (Nfe)]]-35%),IF(AND((tb_preco_shp[[#This Row],[Preço Custo]]+VLOOKUP("Faixa 4",tb_faixas_shoppe[],4,FALSE))/(1-VLOOKUP("Faixa 4",tb_faixas_shoppe[],3,FALSE)-tb_preco_shp[[#This Row],[Imposto (Nfe)]]-35%)&gt;=200,( tb_preco_shp[[#This Row],[Preço Custo]]+VLOOKUP("Faixa 4",tb_faixas_shoppe[],4,FALSE) )/(1-VLOOKUP("Faixa 4",tb_faixas_shoppe[],3,FALSE)-tb_preco_shp[[#This Row],[Imposto (Nfe)]]-35%)&lt;500),( tb_preco_shp[[#This Row],[Preço Custo]]+VLOOKUP("Faixa 4",tb_faixas_shoppe[],4,FALSE) )/(1-VLOOKUP("Faixa 4",tb_faixas_shoppe[],3,FALSE)-tb_preco_shp[[#This Row],[Imposto (Nfe)]]-35%),( tb_preco_shp[[#This Row],[Preço Custo]]+VLOOKUP("Faixa 5",tb_faixas_shoppe[],4,FALSE) )/(1-VLOOKUP("Faixa 5",tb_faixas_shoppe[],3,FALSE)-tb_preco_shp[[#This Row],[Imposto (Nfe)]]-35%))))),2),""))</f>
        <v/>
      </c>
      <c r="R13" s="211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(Nfe)]]-30%)&lt;=79.99,(tb_preco_shp[[#This Row],[Preço Custo]]+VLOOKUP("Faixa 1",tb_faixas_shoppe[],4,FALSE))/(1-VLOOKUP("Faixa 1",tb_faixas_shoppe[],3,FALSE)-tb_preco_shp[[#This Row],[Imposto (Nfe)]]-30%),IF(AND((tb_preco_shp[[#This Row],[Preço Custo]]+VLOOKUP("Faixa 2",tb_faixas_shoppe[],4,FALSE))/(1-VLOOKUP("Faixa 2",tb_faixas_shoppe[],3,FALSE)-tb_preco_shp[[#This Row],[Imposto (Nfe)]]-30%)&gt;=80,(tb_preco_shp[[#This Row],[Preço Custo]]+VLOOKUP("Faixa 2",tb_faixas_shoppe[],4,FALSE))/(1-VLOOKUP("Faixa 2",tb_faixas_shoppe[],3,FALSE)-tb_preco_shp[[#This Row],[Imposto (Nfe)]]-30%)&lt;100),(tb_preco_shp[[#This Row],[Preço Custo]]+VLOOKUP("Faixa 2",tb_faixas_shoppe[],4,FALSE))/(1-VLOOKUP("Faixa 2",tb_faixas_shoppe[],3,FALSE)-tb_preco_shp[[#This Row],[Imposto (Nfe)]]-30%),IF(AND((tb_preco_shp[[#This Row],[Preço Custo]]+VLOOKUP("Faixa 3",tb_faixas_shoppe[],4,FALSE))/(1-VLOOKUP("Faixa 3",tb_faixas_shoppe[],3,FALSE)-tb_preco_shp[[#This Row],[Imposto (Nfe)]]-30%)&gt;=100,(tb_preco_shp[[#This Row],[Preço Custo]]+VLOOKUP("Faixa 3",tb_faixas_shoppe[],4,FALSE))/(1-VLOOKUP("Faixa 3",tb_faixas_shoppe[],3,FALSE)-tb_preco_shp[[#This Row],[Imposto (Nfe)]]-30%)&lt;200),(tb_preco_shp[[#This Row],[Preço Custo]]+VLOOKUP("Faixa 3",tb_faixas_shoppe[],4,FALSE))/(1-VLOOKUP("Faixa 3",tb_faixas_shoppe[],3,FALSE)-tb_preco_shp[[#This Row],[Imposto (Nfe)]]-30%),IF(AND((tb_preco_shp[[#This Row],[Preço Custo]]+VLOOKUP("Faixa 4",tb_faixas_shoppe[],4,FALSE))/(1-VLOOKUP("Faixa 4",tb_faixas_shoppe[],3,FALSE)-tb_preco_shp[[#This Row],[Imposto (Nfe)]]-30%)&gt;=200,(tb_preco_shp[[#This Row],[Preço Custo]]+VLOOKUP("Faixa 4",tb_faixas_shoppe[],4,FALSE))/(1-VLOOKUP("Faixa 4",tb_faixas_shoppe[],3,FALSE)-tb_preco_shp[[#This Row],[Imposto (Nfe)]]-30%)&lt;500),(tb_preco_shp[[#This Row],[Preço Custo]]+VLOOKUP("Faixa 4",tb_faixas_shoppe[],4,FALSE))/(1-VLOOKUP("Faixa 4",tb_faixas_shoppe[],3,FALSE)-tb_preco_shp[[#This Row],[Imposto (Nfe)]]-30%),(tb_preco_shp[[#This Row],[Preço Custo]]+VLOOKUP("Faixa 5",tb_faixas_shoppe[],4,FALSE))/(1-VLOOKUP("Faixa 5",tb_faixas_shoppe[],3,FALSE)-tb_preco_shp[[#This Row],[Imposto (Nfe)]]-30%))))),2),""))</f>
        <v/>
      </c>
      <c r="S13" s="211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(Nfe)]]-23%)&lt;=79.99,(tb_preco_shp[[#This Row],[Preço Custo]]+VLOOKUP("Faixa 1",tb_faixas_shoppe[],4,FALSE))/(1-VLOOKUP("Faixa 1",tb_faixas_shoppe[],3,FALSE)-tb_preco_shp[[#This Row],[Imposto (Nfe)]]-23%),IF(AND((tb_preco_shp[[#This Row],[Preço Custo]]+VLOOKUP("Faixa 2",tb_faixas_shoppe[],4,FALSE))/(1-VLOOKUP("Faixa 2",tb_faixas_shoppe[],3,FALSE)-tb_preco_shp[[#This Row],[Imposto (Nfe)]]-23%)&gt;=80,(tb_preco_shp[[#This Row],[Preço Custo]]+VLOOKUP("Faixa 2",tb_faixas_shoppe[],4,FALSE))/(1-VLOOKUP("Faixa 2",tb_faixas_shoppe[],3,FALSE)-tb_preco_shp[[#This Row],[Imposto (Nfe)]]-23%)&lt;100),(tb_preco_shp[[#This Row],[Preço Custo]]+VLOOKUP("Faixa 2",tb_faixas_shoppe[],4,FALSE))/(1-VLOOKUP("Faixa 2",tb_faixas_shoppe[],3,FALSE)-tb_preco_shp[[#This Row],[Imposto (Nfe)]]-23%),IF(AND((tb_preco_shp[[#This Row],[Preço Custo]]+VLOOKUP("Faixa 3",tb_faixas_shoppe[],4,FALSE))/(1-VLOOKUP("Faixa 3",tb_faixas_shoppe[],3,FALSE)-tb_preco_shp[[#This Row],[Imposto (Nfe)]]-23%)&gt;=100,(tb_preco_shp[[#This Row],[Preço Custo]]+VLOOKUP("Faixa 3",tb_faixas_shoppe[],4,FALSE))/(1-VLOOKUP("Faixa 3",tb_faixas_shoppe[],3,FALSE)-tb_preco_shp[[#This Row],[Imposto (Nfe)]]-23%)&lt;200),(tb_preco_shp[[#This Row],[Preço Custo]]+VLOOKUP("Faixa 3",tb_faixas_shoppe[],4,FALSE))/(1-VLOOKUP("Faixa 3",tb_faixas_shoppe[],3,FALSE)-tb_preco_shp[[#This Row],[Imposto (Nfe)]]-23%),IF(AND((tb_preco_shp[[#This Row],[Preço Custo]]+VLOOKUP("Faixa 4",tb_faixas_shoppe[],4,FALSE))/(1-VLOOKUP("Faixa 4",tb_faixas_shoppe[],3,FALSE)-tb_preco_shp[[#This Row],[Imposto (Nfe)]]-23%)&gt;=200,(tb_preco_shp[[#This Row],[Preço Custo]]+VLOOKUP("Faixa 4",tb_faixas_shoppe[],4,FALSE))/(1-VLOOKUP("Faixa 4",tb_faixas_shoppe[],3,FALSE)-tb_preco_shp[[#This Row],[Imposto (Nfe)]]-23%)&lt;500),(tb_preco_shp[[#This Row],[Preço Custo]]+VLOOKUP("Faixa 4",tb_faixas_shoppe[],4,FALSE))/(1-VLOOKUP("Faixa 4",tb_faixas_shoppe[],3,FALSE)-tb_preco_shp[[#This Row],[Imposto (Nfe)]]-23%),(tb_preco_shp[[#This Row],[Preço Custo]]+VLOOKUP("Faixa 5",tb_faixas_shoppe[],4,FALSE))/(1-VLOOKUP("Faixa 5",tb_faixas_shoppe[],3,FALSE)-tb_preco_shp[[#This Row],[Imposto (Nfe)]]-23%))))),2),""))</f>
        <v/>
      </c>
      <c r="T13" s="210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(Nfe)]]-17%)&lt;=79.99,(tb_preco_shp[[#This Row],[Preço Custo]]+VLOOKUP("Faixa 1",tb_faixas_shoppe[],4,FALSE))/(1-VLOOKUP("Faixa 1",tb_faixas_shoppe[],3,FALSE)-tb_preco_shp[[#This Row],[Imposto (Nfe)]]-17%),IF(AND((tb_preco_shp[[#This Row],[Preço Custo]]+VLOOKUP("Faixa 2",tb_faixas_shoppe[],4,FALSE))/(1-VLOOKUP("Faixa 2",tb_faixas_shoppe[],3,FALSE)-tb_preco_shp[[#This Row],[Imposto (Nfe)]]-17%)&gt;=80,(tb_preco_shp[[#This Row],[Preço Custo]]+VLOOKUP("Faixa 2",tb_faixas_shoppe[],4,FALSE))/(1-VLOOKUP("Faixa 2",tb_faixas_shoppe[],3,FALSE)-tb_preco_shp[[#This Row],[Imposto (Nfe)]]-17%)&lt;100),(tb_preco_shp[[#This Row],[Preço Custo]]+VLOOKUP("Faixa 2",tb_faixas_shoppe[],4,FALSE))/(1-VLOOKUP("Faixa 2",tb_faixas_shoppe[],3,FALSE)-tb_preco_shp[[#This Row],[Imposto (Nfe)]]-17%),IF(AND((tb_preco_shp[[#This Row],[Preço Custo]]+VLOOKUP("Faixa 3",tb_faixas_shoppe[],4,FALSE))/(1-VLOOKUP("Faixa 3",tb_faixas_shoppe[],3,FALSE)-tb_preco_shp[[#This Row],[Imposto (Nfe)]]-17%)&gt;=100,(tb_preco_shp[[#This Row],[Preço Custo]]+VLOOKUP("Faixa 3",tb_faixas_shoppe[],4,FALSE))/(1-VLOOKUP("Faixa 3",tb_faixas_shoppe[],3,FALSE)-tb_preco_shp[[#This Row],[Imposto (Nfe)]]-17%)&lt;200),(tb_preco_shp[[#This Row],[Preço Custo]]+VLOOKUP("Faixa 3",tb_faixas_shoppe[],4,FALSE))/(1-VLOOKUP("Faixa 3",tb_faixas_shoppe[],3,FALSE)-tb_preco_shp[[#This Row],[Imposto (Nfe)]]-17%),IF(AND((tb_preco_shp[[#This Row],[Preço Custo]]+VLOOKUP("Faixa 4",tb_faixas_shoppe[],4,FALSE))/(1-VLOOKUP("Faixa 4",tb_faixas_shoppe[],3,FALSE)-tb_preco_shp[[#This Row],[Imposto (Nfe)]]-17%)&gt;=200,(tb_preco_shp[[#This Row],[Preço Custo]]+VLOOKUP("Faixa 4",tb_faixas_shoppe[],4,FALSE))/(1-VLOOKUP("Faixa 4",tb_faixas_shoppe[],3,FALSE)-tb_preco_shp[[#This Row],[Imposto (Nfe)]]-17%)&lt;500),(tb_preco_shp[[#This Row],[Preço Custo]]+VLOOKUP("Faixa 4",tb_faixas_shoppe[],4,FALSE))/(1-VLOOKUP("Faixa 4",tb_faixas_shoppe[],3,FALSE)-tb_preco_shp[[#This Row],[Imposto (Nfe)]]-17%),(tb_preco_shp[[#This Row],[Preço Custo]]+VLOOKUP("Faixa 5",tb_faixas_shoppe[],4,FALSE))/(1-VLOOKUP("Faixa 5",tb_faixas_shoppe[],3,FALSE)-tb_preco_shp[[#This Row],[Imposto (Nfe)]]-17%))))),2),""))</f>
        <v/>
      </c>
      <c r="U13" s="211">
        <f>IF(tb_preco_shp[[#This Row],[Preço Custo]]="","",IFERROR(
ROUND(
IF((tb_preco_shp[[#This Row],[Preço Custo]]+4)/(1-28%-10%)&lt;80,
   (tb_preco_shp[[#This Row],[Preço Custo]]+4)/(1-28%-10%),
   IF(AND((tb_preco_shp[[#This Row],[Preço Custo]]+16)/(1-22%-10%)&gt;=80, (tb_preco_shp[[#This Row],[Preço Custo]]+16)/(1-22%-10%)&lt;100),
      (tb_preco_shp[[#This Row],[Preço Custo]]+16)/(1-22%-10%),
      IF(AND((tb_preco_shp[[#This Row],[Preço Custo]]+20)/(1-22%-10%)&gt;=100, (tb_preco_shp[[#This Row],[Preço Custo]]+20)/(1-22%-10%)&lt;200),
         (tb_preco_shp[[#This Row],[Preço Custo]]+20)/(1-22%-10%),
         IF(AND((tb_preco_shp[[#This Row],[Preço Custo]]+26)/(1-22%-10%)&gt;=200, (tb_preco_shp[[#This Row],[Preço Custo]]+26)/(1-22%-10%)&lt;500),
            (tb_preco_shp[[#This Row],[Preço Custo]]+26)/(1-22%-10%),
            (tb_preco_shp[[#This Row],[Preço Custo]]+28)/(1-22%-10%)
         )
      )
   )
),2),""))</f>
        <v/>
      </c>
      <c r="V13" s="211">
        <f>IF(OR(tb_preco_shp[[#This Row],[Preço Custo]]="",tb_preco_shp[[#This Row],[Imposto (Nfe)]]=""),"",IFERROR(ROUND(IF((tb_preco_shp[[#This Row],[Preço Custo]]+VLOOKUP("Faixa 1",tb_faixas_shoppe[],4,FALSE))/(1-VLOOKUP("Faixa 1",tb_faixas_shoppe[],3,FALSE)-tb_preco_shp[[#This Row],[Imposto (Nfe)]])&lt;=79.99,(tb_preco_shp[[#This Row],[Preço Custo]]+VLOOKUP("Faixa 1",tb_faixas_shoppe[],4,FALSE))/(1-VLOOKUP("Faixa 1",tb_faixas_shoppe[],3,FALSE)-tb_preco_shp[[#This Row],[Imposto (Nfe)]]),IF(AND((tb_preco_shp[[#This Row],[Preço Custo]]+VLOOKUP("Faixa 2",tb_faixas_shoppe[],4,FALSE))/(1-VLOOKUP("Faixa 2",tb_faixas_shoppe[],3,FALSE)-tb_preco_shp[[#This Row],[Imposto (Nfe)]])&gt;=80,(tb_preco_shp[[#This Row],[Preço Custo]]+VLOOKUP("Faixa 2",tb_faixas_shoppe[],4,FALSE))/(1-VLOOKUP("Faixa 2",tb_faixas_shoppe[],3,FALSE)-tb_preco_shp[[#This Row],[Imposto (Nfe)]])&lt;100),(tb_preco_shp[[#This Row],[Preço Custo]]+VLOOKUP("Faixa 2",tb_faixas_shoppe[],4,FALSE))/(1-VLOOKUP("Faixa 2",tb_faixas_shoppe[],3,FALSE)-tb_preco_shp[[#This Row],[Imposto (Nfe)]]),IF(AND((tb_preco_shp[[#This Row],[Preço Custo]]+VLOOKUP("Faixa 3",tb_faixas_shoppe[],4,FALSE))/(1-VLOOKUP("Faixa 3",tb_faixas_shoppe[],3,FALSE)-tb_preco_shp[[#This Row],[Imposto (Nfe)]])&gt;=100,(tb_preco_shp[[#This Row],[Preço Custo]]+VLOOKUP("Faixa 3",tb_faixas_shoppe[],4,FALSE))/(1-VLOOKUP("Faixa 3",tb_faixas_shoppe[],3,FALSE)-tb_preco_shp[[#This Row],[Imposto (Nfe)]])&lt;200),(tb_preco_shp[[#This Row],[Preço Custo]]+VLOOKUP("Faixa 3",tb_faixas_shoppe[],4,FALSE))/(1-VLOOKUP("Faixa 3",tb_faixas_shoppe[],3,FALSE)-tb_preco_shp[[#This Row],[Imposto (Nfe)]]),IF(AND((tb_preco_shp[[#This Row],[Preço Custo]]+VLOOKUP("Faixa 4",tb_faixas_shoppe[],4,FALSE))/(1-VLOOKUP("Faixa 4",tb_faixas_shoppe[],3,FALSE)-tb_preco_shp[[#This Row],[Imposto (Nfe)]])&gt;=200,(tb_preco_shp[[#This Row],[Preço Custo]]+VLOOKUP("Faixa 4",tb_faixas_shoppe[],4,FALSE))/(1-VLOOKUP("Faixa 4",tb_faixas_shoppe[],3,FALSE)-tb_preco_shp[[#This Row],[Imposto (Nfe)]])&lt;500),(tb_preco_shp[[#This Row],[Preço Custo]]+VLOOKUP("Faixa 4",tb_faixas_shoppe[],4,FALSE))/(1-VLOOKUP("Faixa 4",tb_faixas_shoppe[],3,FALSE)-tb_preco_shp[[#This Row],[Imposto (Nfe)]]),(tb_preco_shp[[#This Row],[Preço Custo]]+VLOOKUP("Faixa 5",tb_faixas_shoppe[],4,FALSE))/(1-VLOOKUP("Faixa 5",tb_faixas_shoppe[],3,FALSE)-tb_preco_shp[[#This Row],[Imposto (Nfe)]]))))),2),""))</f>
        <v/>
      </c>
    </row>
    <row r="14">
      <c r="H14" s="201" t="n"/>
      <c r="I14" s="202">
        <f>IFERROR(IF(F14="","",IF(OR(H14="",H14=0),IF(G14="","",G14),ROUND(F14*(1-H14),2))),"")</f>
        <v/>
      </c>
    </row>
    <row r="15">
      <c r="H15" s="201" t="n"/>
      <c r="I15" s="202">
        <f>IFERROR(IF(F15="","",IF(OR(H15="",H15=0),IF(G15="","",G15),ROUND(F15*(1-H15),2))),"")</f>
        <v/>
      </c>
    </row>
    <row r="16">
      <c r="H16" s="201" t="n"/>
      <c r="I16" s="202">
        <f>IFERROR(IF(F16="","",IF(OR(H16="",H16=0),IF(G16="","",G16),ROUND(F16*(1-H16),2))),"")</f>
        <v/>
      </c>
    </row>
    <row r="17">
      <c r="H17" s="201" t="n"/>
      <c r="I17" s="202">
        <f>IFERROR(IF(F17="","",IF(OR(H17="",H17=0),IF(G17="","",G17),ROUND(F17*(1-H17),2))),"")</f>
        <v/>
      </c>
    </row>
    <row r="18">
      <c r="H18" s="201" t="n"/>
      <c r="I18" s="202">
        <f>IFERROR(IF(F18="","",IF(OR(H18="",H18=0),IF(G18="","",G18),ROUND(F18*(1-H18),2))),"")</f>
        <v/>
      </c>
      <c r="P18" s="13" t="inlineStr"/>
    </row>
    <row r="19">
      <c r="H19" s="201" t="n"/>
      <c r="I19" s="202">
        <f>IFERROR(IF(F19="","",IF(OR(H19="",H19=0),IF(G19="","",G19),ROUND(F19*(1-H19),2))),"")</f>
        <v/>
      </c>
    </row>
    <row r="20">
      <c r="H20" s="201" t="n"/>
      <c r="I20" s="202">
        <f>IFERROR(IF(F20="","",IF(OR(H20="",H20=0),IF(G20="","",G20),ROUND(F20*(1-H20),2))),"")</f>
        <v/>
      </c>
    </row>
    <row r="21">
      <c r="H21" s="201" t="n"/>
      <c r="I21" s="202">
        <f>IFERROR(IF(F21="","",IF(OR(H21="",H21=0),IF(G21="","",G21),ROUND(F21*(1-H21),2))),"")</f>
        <v/>
      </c>
    </row>
    <row r="22">
      <c r="H22" s="201" t="n"/>
      <c r="I22" s="202">
        <f>IFERROR(IF(F22="","",IF(OR(H22="",H22=0),IF(G22="","",G22),ROUND(F22*(1-H22),2))),"")</f>
        <v/>
      </c>
    </row>
    <row r="23">
      <c r="B23" s="3" t="n"/>
      <c r="H23" s="201" t="n"/>
      <c r="I23" s="202">
        <f>IFERROR(IF(F23="","",IF(OR(H23="",H23=0),IF(G23="","",G23),ROUND(F23*(1-H23),2))),"")</f>
        <v/>
      </c>
    </row>
    <row r="24">
      <c r="H24" s="201" t="n"/>
      <c r="I24" s="202">
        <f>IFERROR(IF(F24="","",IF(OR(H24="",H24=0),IF(G24="","",G24),ROUND(F24*(1-H24),2))),"")</f>
        <v/>
      </c>
    </row>
    <row r="25">
      <c r="H25" s="201" t="n"/>
      <c r="I25" s="202">
        <f>IFERROR(IF(F25="","",IF(OR(H25="",H25=0),IF(G25="","",G25),ROUND(F25*(1-H25),2))),"")</f>
        <v/>
      </c>
    </row>
    <row r="26">
      <c r="H26" s="201" t="n"/>
      <c r="I26" s="202">
        <f>IFERROR(IF(F26="","",IF(OR(H26="",H26=0),IF(G26="","",G26),ROUND(F26*(1-H26),2))),"")</f>
        <v/>
      </c>
    </row>
    <row r="27">
      <c r="H27" s="201" t="n"/>
      <c r="I27" s="202">
        <f>IFERROR(IF(F27="","",IF(OR(H27="",H27=0),IF(G27="","",G27),ROUND(F27*(1-H27),2))),"")</f>
        <v/>
      </c>
    </row>
    <row r="28">
      <c r="H28" s="201" t="n"/>
      <c r="I28" s="202">
        <f>IFERROR(IF(F28="","",IF(OR(H28="",H28=0),IF(G28="","",G28),ROUND(F28*(1-H28),2))),"")</f>
        <v/>
      </c>
    </row>
    <row r="29">
      <c r="H29" s="201" t="n"/>
      <c r="I29" s="202">
        <f>IFERROR(IF(F29="","",IF(OR(H29="",H29=0),IF(G29="","",G29),ROUND(F29*(1-H29),2))),"")</f>
        <v/>
      </c>
    </row>
    <row r="30">
      <c r="H30" s="201" t="n"/>
      <c r="I30" s="202">
        <f>IFERROR(IF(F30="","",IF(OR(H30="",H30=0),IF(G30="","",G30),ROUND(F30*(1-H30),2))),"")</f>
        <v/>
      </c>
    </row>
    <row r="31">
      <c r="H31" s="201" t="n"/>
      <c r="I31" s="202">
        <f>IFERROR(IF(F31="","",IF(OR(H31="",H31=0),IF(G31="","",G31),ROUND(F31*(1-H31),2))),"")</f>
        <v/>
      </c>
    </row>
    <row r="32">
      <c r="H32" s="201" t="n"/>
      <c r="I32" s="202">
        <f>IFERROR(IF(F32="","",IF(OR(H32="",H32=0),IF(G32="","",G32),ROUND(F32*(1-H32),2))),"")</f>
        <v/>
      </c>
    </row>
    <row r="33">
      <c r="H33" s="201" t="n"/>
      <c r="I33" s="202">
        <f>IFERROR(IF(F33="","",IF(OR(H33="",H33=0),IF(G33="","",G33),ROUND(F33*(1-H33),2))),"")</f>
        <v/>
      </c>
    </row>
    <row r="34">
      <c r="H34" s="201" t="n"/>
      <c r="I34" s="202">
        <f>IFERROR(IF(F34="","",IF(OR(H34="",H34=0),IF(G34="","",G34),ROUND(F34*(1-H34),2))),"")</f>
        <v/>
      </c>
    </row>
    <row r="35">
      <c r="H35" s="201" t="n"/>
      <c r="I35" s="202">
        <f>IFERROR(IF(F35="","",IF(OR(H35="",H35=0),IF(G35="","",G35),ROUND(F35*(1-H35),2))),"")</f>
        <v/>
      </c>
    </row>
    <row r="36">
      <c r="H36" s="201" t="n"/>
      <c r="I36" s="202">
        <f>IFERROR(IF(F36="","",IF(OR(H36="",H36=0),IF(G36="","",G36),ROUND(F36*(1-H36),2))),"")</f>
        <v/>
      </c>
    </row>
    <row r="37">
      <c r="H37" s="201" t="n"/>
      <c r="I37" s="202">
        <f>IFERROR(IF(F37="","",IF(OR(H37="",H37=0),IF(G37="","",G37),ROUND(F37*(1-H37),2))),"")</f>
        <v/>
      </c>
    </row>
    <row r="38">
      <c r="H38" s="201" t="n"/>
      <c r="I38" s="202">
        <f>IFERROR(IF(F38="","",IF(OR(H38="",H38=0),IF(G38="","",G38),ROUND(F38*(1-H38),2))),"")</f>
        <v/>
      </c>
    </row>
    <row r="39">
      <c r="H39" s="201" t="n"/>
      <c r="I39" s="202">
        <f>IFERROR(IF(F39="","",IF(OR(H39="",H39=0),IF(G39="","",G39),ROUND(F39*(1-H39),2))),"")</f>
        <v/>
      </c>
    </row>
    <row r="40">
      <c r="H40" s="201" t="n"/>
      <c r="I40" s="202">
        <f>IFERROR(IF(F40="","",IF(OR(H40="",H40=0),IF(G40="","",G40),ROUND(F40*(1-H40),2))),"")</f>
        <v/>
      </c>
    </row>
    <row r="41">
      <c r="H41" s="201" t="n"/>
      <c r="I41" s="202">
        <f>IFERROR(IF(F41="","",IF(OR(H41="",H41=0),IF(G41="","",G41),ROUND(F41*(1-H41),2))),"")</f>
        <v/>
      </c>
    </row>
    <row r="42">
      <c r="H42" s="201" t="n"/>
      <c r="I42" s="202">
        <f>IFERROR(IF(F42="","",IF(OR(H42="",H42=0),IF(G42="","",G42),ROUND(F42*(1-H42),2))),"")</f>
        <v/>
      </c>
    </row>
    <row r="43">
      <c r="H43" s="201" t="n"/>
      <c r="I43" s="202">
        <f>IFERROR(IF(F43="","",IF(OR(H43="",H43=0),IF(G43="","",G43),ROUND(F43*(1-H43),2))),"")</f>
        <v/>
      </c>
    </row>
    <row r="44">
      <c r="H44" s="201" t="n"/>
      <c r="I44" s="202">
        <f>IFERROR(IF(F44="","",IF(OR(H44="",H44=0),IF(G44="","",G44),ROUND(F44*(1-H44),2))),"")</f>
        <v/>
      </c>
    </row>
    <row r="45">
      <c r="H45" s="201" t="n"/>
      <c r="I45" s="202">
        <f>IFERROR(IF(F45="","",IF(OR(H45="",H45=0),IF(G45="","",G45),ROUND(F45*(1-H45),2))),"")</f>
        <v/>
      </c>
    </row>
    <row r="46">
      <c r="H46" s="201" t="n"/>
      <c r="I46" s="202">
        <f>IFERROR(IF(F46="","",IF(OR(H46="",H46=0),IF(G46="","",G46),ROUND(F46*(1-H46),2))),"")</f>
        <v/>
      </c>
    </row>
    <row r="47">
      <c r="H47" s="201" t="n"/>
      <c r="I47" s="202">
        <f>IFERROR(IF(F47="","",IF(OR(H47="",H47=0),IF(G47="","",G47),ROUND(F47*(1-H47),2))),"")</f>
        <v/>
      </c>
    </row>
    <row r="48">
      <c r="H48" s="201" t="n"/>
      <c r="I48" s="202">
        <f>IFERROR(IF(F48="","",IF(OR(H48="",H48=0),IF(G48="","",G48),ROUND(F48*(1-H48),2))),"")</f>
        <v/>
      </c>
    </row>
    <row r="49">
      <c r="H49" s="201" t="n"/>
      <c r="I49" s="202">
        <f>IFERROR(IF(F49="","",IF(OR(H49="",H49=0),IF(G49="","",G49),ROUND(F49*(1-H49),2))),"")</f>
        <v/>
      </c>
    </row>
    <row r="50">
      <c r="H50" s="201" t="n"/>
      <c r="I50" s="202">
        <f>IFERROR(IF(F50="","",IF(OR(H50="",H50=0),IF(G50="","",G50),ROUND(F50*(1-H50),2))),"")</f>
        <v/>
      </c>
    </row>
    <row r="51">
      <c r="H51" s="201" t="n"/>
      <c r="I51" s="202">
        <f>IFERROR(IF(F51="","",IF(OR(H51="",H51=0),IF(G51="","",G51),ROUND(F51*(1-H51),2))),"")</f>
        <v/>
      </c>
    </row>
    <row r="52">
      <c r="H52" s="201" t="n"/>
      <c r="I52" s="202">
        <f>IFERROR(IF(F52="","",IF(OR(H52="",H52=0),IF(G52="","",G52),ROUND(F52*(1-H52),2))),"")</f>
        <v/>
      </c>
    </row>
    <row r="53">
      <c r="H53" s="201" t="n"/>
      <c r="I53" s="202">
        <f>IFERROR(IF(F53="","",IF(OR(H53="",H53=0),IF(G53="","",G53),ROUND(F53*(1-H53),2))),"")</f>
        <v/>
      </c>
    </row>
    <row r="54">
      <c r="H54" s="201" t="n"/>
      <c r="I54" s="202">
        <f>IFERROR(IF(F54="","",IF(OR(H54="",H54=0),IF(G54="","",G54),ROUND(F54*(1-H54),2))),"")</f>
        <v/>
      </c>
    </row>
    <row r="55">
      <c r="H55" s="201" t="n"/>
      <c r="I55" s="202">
        <f>IFERROR(IF(F55="","",IF(OR(H55="",H55=0),IF(G55="","",G55),ROUND(F55*(1-H55),2))),"")</f>
        <v/>
      </c>
    </row>
    <row r="56">
      <c r="H56" s="201" t="n"/>
      <c r="I56" s="202">
        <f>IFERROR(IF(F56="","",IF(OR(H56="",H56=0),IF(G56="","",G56),ROUND(F56*(1-H56),2))),"")</f>
        <v/>
      </c>
    </row>
    <row r="57">
      <c r="H57" s="201" t="n"/>
      <c r="I57" s="202">
        <f>IFERROR(IF(F57="","",IF(OR(H57="",H57=0),IF(G57="","",G57),ROUND(F57*(1-H57),2))),"")</f>
        <v/>
      </c>
    </row>
    <row r="58">
      <c r="H58" s="201" t="n"/>
      <c r="I58" s="202">
        <f>IFERROR(IF(F58="","",IF(OR(H58="",H58=0),IF(G58="","",G58),ROUND(F58*(1-H58),2))),"")</f>
        <v/>
      </c>
    </row>
    <row r="59">
      <c r="H59" s="201" t="n"/>
      <c r="I59" s="202">
        <f>IFERROR(IF(F59="","",IF(OR(H59="",H59=0),IF(G59="","",G59),ROUND(F59*(1-H59),2))),"")</f>
        <v/>
      </c>
    </row>
    <row r="60">
      <c r="H60" s="201" t="n"/>
      <c r="I60" s="202">
        <f>IFERROR(IF(F60="","",IF(OR(H60="",H60=0),IF(G60="","",G60),ROUND(F60*(1-H60),2))),"")</f>
        <v/>
      </c>
    </row>
    <row r="61">
      <c r="H61" s="201" t="n"/>
      <c r="I61" s="202">
        <f>IFERROR(IF(F61="","",IF(OR(H61="",H61=0),IF(G61="","",G61),ROUND(F61*(1-H61),2))),"")</f>
        <v/>
      </c>
    </row>
    <row r="62">
      <c r="H62" s="201" t="n"/>
      <c r="I62" s="202">
        <f>IFERROR(IF(F62="","",IF(OR(H62="",H62=0),IF(G62="","",G62),ROUND(F62*(1-H62),2))),"")</f>
        <v/>
      </c>
    </row>
    <row r="63">
      <c r="H63" s="201" t="n"/>
      <c r="I63" s="202">
        <f>IFERROR(IF(F63="","",IF(OR(H63="",H63=0),IF(G63="","",G63),ROUND(F63*(1-H63),2))),"")</f>
        <v/>
      </c>
    </row>
    <row r="64">
      <c r="H64" s="201" t="n"/>
      <c r="I64" s="202">
        <f>IFERROR(IF(F64="","",IF(OR(H64="",H64=0),IF(G64="","",G64),ROUND(F64*(1-H64),2))),"")</f>
        <v/>
      </c>
    </row>
    <row r="65">
      <c r="H65" s="201" t="n"/>
      <c r="I65" s="202">
        <f>IFERROR(IF(F65="","",IF(OR(H65="",H65=0),IF(G65="","",G65),ROUND(F65*(1-H65),2))),"")</f>
        <v/>
      </c>
    </row>
    <row r="66">
      <c r="H66" s="201" t="n"/>
      <c r="I66" s="202">
        <f>IFERROR(IF(F66="","",IF(OR(H66="",H66=0),IF(G66="","",G66),ROUND(F66*(1-H66),2))),"")</f>
        <v/>
      </c>
    </row>
    <row r="67">
      <c r="H67" s="201" t="n"/>
      <c r="I67" s="202">
        <f>IFERROR(IF(F67="","",IF(OR(H67="",H67=0),IF(G67="","",G67),ROUND(F67*(1-H67),2))),"")</f>
        <v/>
      </c>
    </row>
    <row r="68">
      <c r="H68" s="201" t="n"/>
      <c r="I68" s="202">
        <f>IFERROR(IF(F68="","",IF(OR(H68="",H68=0),IF(G68="","",G68),ROUND(F68*(1-H68),2))),"")</f>
        <v/>
      </c>
    </row>
    <row r="69">
      <c r="H69" s="201" t="n"/>
      <c r="I69" s="202">
        <f>IFERROR(IF(F69="","",IF(OR(H69="",H69=0),IF(G69="","",G69),ROUND(F69*(1-H69),2))),"")</f>
        <v/>
      </c>
    </row>
    <row r="70">
      <c r="H70" s="201" t="n"/>
      <c r="I70" s="202">
        <f>IFERROR(IF(F70="","",IF(OR(H70="",H70=0),IF(G70="","",G70),ROUND(F70*(1-H70),2))),"")</f>
        <v/>
      </c>
    </row>
    <row r="71">
      <c r="H71" s="201" t="n"/>
      <c r="I71" s="202">
        <f>IFERROR(IF(F71="","",IF(OR(H71="",H71=0),IF(G71="","",G71),ROUND(F71*(1-H71),2))),"")</f>
        <v/>
      </c>
    </row>
    <row r="72">
      <c r="H72" s="201" t="n"/>
      <c r="I72" s="202">
        <f>IFERROR(IF(F72="","",IF(OR(H72="",H72=0),IF(G72="","",G72),ROUND(F72*(1-H72),2))),"")</f>
        <v/>
      </c>
    </row>
    <row r="73">
      <c r="H73" s="201" t="n"/>
      <c r="I73" s="202">
        <f>IFERROR(IF(F73="","",IF(OR(H73="",H73=0),IF(G73="","",G73),ROUND(F73*(1-H73),2))),"")</f>
        <v/>
      </c>
    </row>
    <row r="74">
      <c r="H74" s="201" t="n"/>
      <c r="I74" s="202">
        <f>IFERROR(IF(F74="","",IF(OR(H74="",H74=0),IF(G74="","",G74),ROUND(F74*(1-H74),2))),"")</f>
        <v/>
      </c>
    </row>
    <row r="75">
      <c r="H75" s="201" t="n"/>
      <c r="I75" s="202">
        <f>IFERROR(IF(F75="","",IF(OR(H75="",H75=0),IF(G75="","",G75),ROUND(F75*(1-H75),2))),"")</f>
        <v/>
      </c>
    </row>
    <row r="76">
      <c r="H76" s="201" t="n"/>
      <c r="I76" s="202">
        <f>IFERROR(IF(F76="","",IF(OR(H76="",H76=0),IF(G76="","",G76),ROUND(F76*(1-H76),2))),"")</f>
        <v/>
      </c>
    </row>
    <row r="77">
      <c r="H77" s="201" t="n"/>
      <c r="I77" s="202">
        <f>IFERROR(IF(F77="","",IF(OR(H77="",H77=0),IF(G77="","",G77),ROUND(F77*(1-H77),2))),"")</f>
        <v/>
      </c>
    </row>
    <row r="78">
      <c r="H78" s="201" t="n"/>
      <c r="I78" s="202">
        <f>IFERROR(IF(F78="","",IF(OR(H78="",H78=0),IF(G78="","",G78),ROUND(F78*(1-H78),2))),"")</f>
        <v/>
      </c>
    </row>
    <row r="79">
      <c r="H79" s="201" t="n"/>
      <c r="I79" s="202">
        <f>IFERROR(IF(F79="","",IF(OR(H79="",H79=0),IF(G79="","",G79),ROUND(F79*(1-H79),2))),"")</f>
        <v/>
      </c>
    </row>
    <row r="80">
      <c r="H80" s="201" t="n"/>
      <c r="I80" s="202">
        <f>IFERROR(IF(F80="","",IF(OR(H80="",H80=0),IF(G80="","",G80),ROUND(F80*(1-H80),2))),"")</f>
        <v/>
      </c>
    </row>
    <row r="81">
      <c r="H81" s="201" t="n"/>
      <c r="I81" s="202">
        <f>IFERROR(IF(F81="","",IF(OR(H81="",H81=0),IF(G81="","",G81),ROUND(F81*(1-H81),2))),"")</f>
        <v/>
      </c>
    </row>
    <row r="82">
      <c r="H82" s="201" t="n"/>
      <c r="I82" s="202">
        <f>IFERROR(IF(F82="","",IF(OR(H82="",H82=0),IF(G82="","",G82),ROUND(F82*(1-H82),2))),"")</f>
        <v/>
      </c>
    </row>
    <row r="83">
      <c r="H83" s="201" t="n"/>
      <c r="I83" s="202">
        <f>IFERROR(IF(F83="","",IF(OR(H83="",H83=0),IF(G83="","",G83),ROUND(F83*(1-H83),2))),"")</f>
        <v/>
      </c>
    </row>
    <row r="84">
      <c r="H84" s="201" t="n"/>
      <c r="I84" s="202">
        <f>IFERROR(IF(F84="","",IF(OR(H84="",H84=0),IF(G84="","",G84),ROUND(F84*(1-H84),2))),"")</f>
        <v/>
      </c>
    </row>
    <row r="85">
      <c r="H85" s="201" t="n"/>
      <c r="I85" s="202">
        <f>IFERROR(IF(F85="","",IF(OR(H85="",H85=0),IF(G85="","",G85),ROUND(F85*(1-H85),2))),"")</f>
        <v/>
      </c>
    </row>
    <row r="86">
      <c r="H86" s="201" t="n"/>
      <c r="I86" s="202">
        <f>IFERROR(IF(F86="","",IF(OR(H86="",H86=0),IF(G86="","",G86),ROUND(F86*(1-H86),2))),"")</f>
        <v/>
      </c>
    </row>
    <row r="87">
      <c r="H87" s="201" t="n"/>
      <c r="I87" s="202">
        <f>IFERROR(IF(F87="","",IF(OR(H87="",H87=0),IF(G87="","",G87),ROUND(F87*(1-H87),2))),"")</f>
        <v/>
      </c>
    </row>
    <row r="88">
      <c r="H88" s="201" t="n"/>
      <c r="I88" s="202">
        <f>IFERROR(IF(F88="","",IF(OR(H88="",H88=0),IF(G88="","",G88),ROUND(F88*(1-H88),2))),"")</f>
        <v/>
      </c>
    </row>
    <row r="89">
      <c r="H89" s="201" t="n"/>
      <c r="I89" s="202">
        <f>IFERROR(IF(F89="","",IF(OR(H89="",H89=0),IF(G89="","",G89),ROUND(F89*(1-H89),2))),"")</f>
        <v/>
      </c>
    </row>
    <row r="90">
      <c r="H90" s="201" t="n"/>
      <c r="I90" s="202">
        <f>IFERROR(IF(F90="","",IF(OR(H90="",H90=0),IF(G90="","",G90),ROUND(F90*(1-H90),2))),"")</f>
        <v/>
      </c>
    </row>
    <row r="91">
      <c r="H91" s="201" t="n"/>
      <c r="I91" s="202">
        <f>IFERROR(IF(F91="","",IF(OR(H91="",H91=0),IF(G91="","",G91),ROUND(F91*(1-H91),2))),"")</f>
        <v/>
      </c>
    </row>
    <row r="92">
      <c r="H92" s="201" t="n"/>
      <c r="I92" s="202">
        <f>IFERROR(IF(F92="","",IF(OR(H92="",H92=0),IF(G92="","",G92),ROUND(F92*(1-H92),2))),"")</f>
        <v/>
      </c>
    </row>
    <row r="93">
      <c r="H93" s="201" t="n"/>
      <c r="I93" s="202">
        <f>IFERROR(IF(F93="","",IF(OR(H93="",H93=0),IF(G93="","",G93),ROUND(F93*(1-H93),2))),"")</f>
        <v/>
      </c>
    </row>
    <row r="94">
      <c r="H94" s="201" t="n"/>
      <c r="I94" s="202">
        <f>IFERROR(IF(F94="","",IF(OR(H94="",H94=0),IF(G94="","",G94),ROUND(F94*(1-H94),2))),"")</f>
        <v/>
      </c>
    </row>
    <row r="95">
      <c r="H95" s="201" t="n"/>
      <c r="I95" s="202">
        <f>IFERROR(IF(F95="","",IF(OR(H95="",H95=0),IF(G95="","",G95),ROUND(F95*(1-H95),2))),"")</f>
        <v/>
      </c>
    </row>
    <row r="96">
      <c r="H96" s="201" t="n"/>
      <c r="I96" s="202">
        <f>IFERROR(IF(F96="","",IF(OR(H96="",H96=0),IF(G96="","",G96),ROUND(F96*(1-H96),2))),"")</f>
        <v/>
      </c>
    </row>
    <row r="97">
      <c r="H97" s="201" t="n"/>
      <c r="I97" s="202">
        <f>IFERROR(IF(F97="","",IF(OR(H97="",H97=0),IF(G97="","",G97),ROUND(F97*(1-H97),2))),"")</f>
        <v/>
      </c>
    </row>
    <row r="98">
      <c r="H98" s="201" t="n"/>
      <c r="I98" s="202">
        <f>IFERROR(IF(F98="","",IF(OR(H98="",H98=0),IF(G98="","",G98),ROUND(F98*(1-H98),2))),"")</f>
        <v/>
      </c>
    </row>
    <row r="99">
      <c r="H99" s="201" t="n"/>
      <c r="I99" s="202">
        <f>IFERROR(IF(F99="","",IF(OR(H99="",H99=0),IF(G99="","",G99),ROUND(F99*(1-H99),2))),"")</f>
        <v/>
      </c>
    </row>
    <row r="100">
      <c r="H100" s="201" t="n"/>
      <c r="I100" s="202">
        <f>IFERROR(IF(F100="","",IF(OR(H100="",H100=0),IF(G100="","",G100),ROUND(F100*(1-H100),2))),"")</f>
        <v/>
      </c>
    </row>
    <row r="101">
      <c r="H101" s="201" t="n"/>
      <c r="I101" s="202">
        <f>IFERROR(IF(F101="","",IF(OR(H101="",H101=0),IF(G101="","",G101),ROUND(F101*(1-H101),2))),"")</f>
        <v/>
      </c>
    </row>
    <row r="102">
      <c r="H102" s="201" t="n"/>
      <c r="I102" s="202">
        <f>IFERROR(IF(F102="","",IF(OR(H102="",H102=0),IF(G102="","",G102),ROUND(F102*(1-H102),2))),"")</f>
        <v/>
      </c>
    </row>
    <row r="103">
      <c r="H103" s="201" t="n"/>
      <c r="I103" s="202">
        <f>IFERROR(IF(F103="","",IF(OR(H103="",H103=0),IF(G103="","",G103),ROUND(F103*(1-H103),2))),"")</f>
        <v/>
      </c>
    </row>
    <row r="104">
      <c r="H104" s="201" t="n"/>
      <c r="I104" s="202">
        <f>IFERROR(IF(F104="","",IF(OR(H104="",H104=0),IF(G104="","",G104),ROUND(F104*(1-H104),2))),"")</f>
        <v/>
      </c>
    </row>
    <row r="105">
      <c r="H105" s="201" t="n"/>
      <c r="I105" s="202">
        <f>IFERROR(IF(F105="","",IF(OR(H105="",H105=0),IF(G105="","",G105),ROUND(F105*(1-H105),2))),"")</f>
        <v/>
      </c>
    </row>
    <row r="106">
      <c r="H106" s="201" t="n"/>
      <c r="I106" s="202">
        <f>IFERROR(IF(F106="","",IF(OR(H106="",H106=0),IF(G106="","",G106),ROUND(F106*(1-H106),2))),"")</f>
        <v/>
      </c>
    </row>
    <row r="107">
      <c r="H107" s="201" t="n"/>
      <c r="I107" s="202">
        <f>IFERROR(IF(F107="","",IF(OR(H107="",H107=0),IF(G107="","",G107),ROUND(F107*(1-H107),2))),"")</f>
        <v/>
      </c>
    </row>
    <row r="108">
      <c r="H108" s="201" t="n"/>
      <c r="I108" s="202">
        <f>IFERROR(IF(F108="","",IF(OR(H108="",H108=0),IF(G108="","",G108),ROUND(F108*(1-H108),2))),"")</f>
        <v/>
      </c>
    </row>
    <row r="109">
      <c r="H109" s="201" t="n"/>
      <c r="I109" s="202">
        <f>IFERROR(IF(F109="","",IF(OR(H109="",H109=0),IF(G109="","",G109),ROUND(F109*(1-H109),2))),"")</f>
        <v/>
      </c>
    </row>
    <row r="110">
      <c r="H110" s="201" t="n"/>
      <c r="I110" s="202">
        <f>IFERROR(IF(F110="","",IF(OR(H110="",H110=0),IF(G110="","",G110),ROUND(F110*(1-H110),2))),"")</f>
        <v/>
      </c>
    </row>
    <row r="111">
      <c r="H111" s="201" t="n"/>
      <c r="I111" s="202">
        <f>IFERROR(IF(F111="","",IF(OR(H111="",H111=0),IF(G111="","",G111),ROUND(F111*(1-H111),2))),"")</f>
        <v/>
      </c>
    </row>
    <row r="112">
      <c r="H112" s="201" t="n"/>
      <c r="I112" s="202">
        <f>IFERROR(IF(F112="","",IF(OR(H112="",H112=0),IF(G112="","",G112),ROUND(F112*(1-H112),2))),"")</f>
        <v/>
      </c>
    </row>
    <row r="113">
      <c r="H113" s="201" t="n"/>
      <c r="I113" s="202">
        <f>IFERROR(IF(F113="","",IF(OR(H113="",H113=0),IF(G113="","",G113),ROUND(F113*(1-H113),2))),"")</f>
        <v/>
      </c>
    </row>
    <row r="114">
      <c r="H114" s="201" t="n"/>
      <c r="I114" s="202">
        <f>IFERROR(IF(F114="","",IF(OR(H114="",H114=0),IF(G114="","",G114),ROUND(F114*(1-H114),2))),"")</f>
        <v/>
      </c>
    </row>
    <row r="115">
      <c r="H115" s="201" t="n"/>
      <c r="I115" s="202">
        <f>IFERROR(IF(F115="","",IF(OR(H115="",H115=0),IF(G115="","",G115),ROUND(F115*(1-H115),2))),"")</f>
        <v/>
      </c>
    </row>
    <row r="116">
      <c r="H116" s="201" t="n"/>
      <c r="I116" s="202">
        <f>IFERROR(IF(F116="","",IF(OR(H116="",H116=0),IF(G116="","",G116),ROUND(F116*(1-H116),2))),"")</f>
        <v/>
      </c>
    </row>
    <row r="117">
      <c r="H117" s="201" t="n"/>
      <c r="I117" s="202">
        <f>IFERROR(IF(F117="","",IF(OR(H117="",H117=0),IF(G117="","",G117),ROUND(F117*(1-H117),2))),"")</f>
        <v/>
      </c>
    </row>
    <row r="118">
      <c r="H118" s="201" t="n"/>
      <c r="I118" s="202">
        <f>IFERROR(IF(F118="","",IF(OR(H118="",H118=0),IF(G118="","",G118),ROUND(F118*(1-H118),2))),"")</f>
        <v/>
      </c>
    </row>
    <row r="119">
      <c r="H119" s="201" t="n"/>
      <c r="I119" s="202">
        <f>IFERROR(IF(F119="","",IF(OR(H119="",H119=0),IF(G119="","",G119),ROUND(F119*(1-H119),2))),"")</f>
        <v/>
      </c>
    </row>
    <row r="120">
      <c r="H120" s="201" t="n"/>
      <c r="I120" s="202">
        <f>IFERROR(IF(F120="","",IF(OR(H120="",H120=0),IF(G120="","",G120),ROUND(F120*(1-H120),2))),"")</f>
        <v/>
      </c>
    </row>
    <row r="121">
      <c r="H121" s="201" t="n"/>
      <c r="I121" s="202">
        <f>IFERROR(IF(F121="","",IF(OR(H121="",H121=0),IF(G121="","",G121),ROUND(F121*(1-H121),2))),"")</f>
        <v/>
      </c>
    </row>
    <row r="122">
      <c r="H122" s="201" t="n"/>
      <c r="I122" s="202">
        <f>IFERROR(IF(F122="","",IF(OR(H122="",H122=0),IF(G122="","",G122),ROUND(F122*(1-H122),2))),"")</f>
        <v/>
      </c>
    </row>
    <row r="123">
      <c r="H123" s="201" t="n"/>
      <c r="I123" s="202">
        <f>IFERROR(IF(F123="","",IF(OR(H123="",H123=0),IF(G123="","",G123),ROUND(F123*(1-H123),2))),"")</f>
        <v/>
      </c>
    </row>
    <row r="124">
      <c r="H124" s="201" t="n"/>
      <c r="I124" s="202">
        <f>IFERROR(IF(F124="","",IF(OR(H124="",H124=0),IF(G124="","",G124),ROUND(F124*(1-H124),2))),"")</f>
        <v/>
      </c>
    </row>
    <row r="125">
      <c r="H125" s="201" t="n"/>
      <c r="I125" s="202">
        <f>IFERROR(IF(F125="","",IF(OR(H125="",H125=0),IF(G125="","",G125),ROUND(F125*(1-H125),2))),"")</f>
        <v/>
      </c>
    </row>
    <row r="126">
      <c r="H126" s="201" t="n"/>
      <c r="I126" s="202">
        <f>IFERROR(IF(F126="","",IF(OR(H126="",H126=0),IF(G126="","",G126),ROUND(F126*(1-H126),2))),"")</f>
        <v/>
      </c>
    </row>
    <row r="127">
      <c r="H127" s="201" t="n"/>
      <c r="I127" s="202">
        <f>IFERROR(IF(F127="","",IF(OR(H127="",H127=0),IF(G127="","",G127),ROUND(F127*(1-H127),2))),"")</f>
        <v/>
      </c>
    </row>
    <row r="128">
      <c r="H128" s="201" t="n"/>
      <c r="I128" s="202">
        <f>IFERROR(IF(F128="","",IF(OR(H128="",H128=0),IF(G128="","",G128),ROUND(F128*(1-H128),2))),"")</f>
        <v/>
      </c>
    </row>
    <row r="129">
      <c r="H129" s="201" t="n"/>
      <c r="I129" s="202">
        <f>IFERROR(IF(F129="","",IF(OR(H129="",H129=0),IF(G129="","",G129),ROUND(F129*(1-H129),2))),"")</f>
        <v/>
      </c>
    </row>
    <row r="130">
      <c r="H130" s="201" t="n"/>
      <c r="I130" s="202">
        <f>IFERROR(IF(F130="","",IF(OR(H130="",H130=0),IF(G130="","",G130),ROUND(F130*(1-H130),2))),"")</f>
        <v/>
      </c>
    </row>
    <row r="131">
      <c r="H131" s="201" t="n"/>
      <c r="I131" s="202">
        <f>IFERROR(IF(F131="","",IF(OR(H131="",H131=0),IF(G131="","",G131),ROUND(F131*(1-H131),2))),"")</f>
        <v/>
      </c>
    </row>
    <row r="132">
      <c r="H132" s="201" t="n"/>
      <c r="I132" s="202">
        <f>IFERROR(IF(F132="","",IF(OR(H132="",H132=0),IF(G132="","",G132),ROUND(F132*(1-H132),2))),"")</f>
        <v/>
      </c>
    </row>
    <row r="133">
      <c r="H133" s="201" t="n"/>
      <c r="I133" s="202">
        <f>IFERROR(IF(F133="","",IF(OR(H133="",H133=0),IF(G133="","",G133),ROUND(F133*(1-H133),2))),"")</f>
        <v/>
      </c>
    </row>
    <row r="134">
      <c r="H134" s="201" t="n"/>
      <c r="I134" s="202">
        <f>IFERROR(IF(F134="","",IF(OR(H134="",H134=0),IF(G134="","",G134),ROUND(F134*(1-H134),2))),"")</f>
        <v/>
      </c>
    </row>
    <row r="135">
      <c r="H135" s="201" t="n"/>
      <c r="I135" s="202">
        <f>IFERROR(IF(F135="","",IF(OR(H135="",H135=0),IF(G135="","",G135),ROUND(F135*(1-H135),2))),"")</f>
        <v/>
      </c>
    </row>
    <row r="136">
      <c r="H136" s="201" t="n"/>
      <c r="I136" s="202">
        <f>IFERROR(IF(F136="","",IF(OR(H136="",H136=0),IF(G136="","",G136),ROUND(F136*(1-H136),2))),"")</f>
        <v/>
      </c>
    </row>
    <row r="137">
      <c r="H137" s="201" t="n"/>
      <c r="I137" s="202">
        <f>IFERROR(IF(F137="","",IF(OR(H137="",H137=0),IF(G137="","",G137),ROUND(F137*(1-H137),2))),"")</f>
        <v/>
      </c>
    </row>
    <row r="138">
      <c r="H138" s="201" t="n"/>
      <c r="I138" s="202">
        <f>IFERROR(IF(F138="","",IF(OR(H138="",H138=0),IF(G138="","",G138),ROUND(F138*(1-H138),2))),"")</f>
        <v/>
      </c>
    </row>
    <row r="139">
      <c r="H139" s="201" t="n"/>
      <c r="I139" s="202">
        <f>IFERROR(IF(F139="","",IF(OR(H139="",H139=0),IF(G139="","",G139),ROUND(F139*(1-H139),2))),"")</f>
        <v/>
      </c>
    </row>
    <row r="140">
      <c r="H140" s="201" t="n"/>
      <c r="I140" s="202">
        <f>IFERROR(IF(F140="","",IF(OR(H140="",H140=0),IF(G140="","",G140),ROUND(F140*(1-H140),2))),"")</f>
        <v/>
      </c>
    </row>
    <row r="141">
      <c r="H141" s="201" t="n"/>
      <c r="I141" s="202">
        <f>IFERROR(IF(F141="","",IF(OR(H141="",H141=0),IF(G141="","",G141),ROUND(F141*(1-H141),2))),"")</f>
        <v/>
      </c>
    </row>
    <row r="142">
      <c r="H142" s="201" t="n"/>
      <c r="I142" s="202">
        <f>IFERROR(IF(F142="","",IF(OR(H142="",H142=0),IF(G142="","",G142),ROUND(F142*(1-H142),2))),"")</f>
        <v/>
      </c>
    </row>
    <row r="143">
      <c r="H143" s="201" t="n"/>
      <c r="I143" s="202">
        <f>IFERROR(IF(F143="","",IF(OR(H143="",H143=0),IF(G143="","",G143),ROUND(F143*(1-H143),2))),"")</f>
        <v/>
      </c>
    </row>
    <row r="144">
      <c r="H144" s="201" t="n"/>
      <c r="I144" s="202">
        <f>IFERROR(IF(F144="","",IF(OR(H144="",H144=0),IF(G144="","",G144),ROUND(F144*(1-H144),2))),"")</f>
        <v/>
      </c>
    </row>
    <row r="145">
      <c r="H145" s="201" t="n"/>
      <c r="I145" s="202">
        <f>IFERROR(IF(F145="","",IF(OR(H145="",H145=0),IF(G145="","",G145),ROUND(F145*(1-H145),2))),"")</f>
        <v/>
      </c>
    </row>
    <row r="146">
      <c r="H146" s="201" t="n"/>
      <c r="I146" s="202">
        <f>IFERROR(IF(F146="","",IF(OR(H146="",H146=0),IF(G146="","",G146),ROUND(F146*(1-H146),2))),"")</f>
        <v/>
      </c>
    </row>
    <row r="147">
      <c r="H147" s="201" t="n"/>
      <c r="I147" s="202">
        <f>IFERROR(IF(F147="","",IF(OR(H147="",H147=0),IF(G147="","",G147),ROUND(F147*(1-H147),2))),"")</f>
        <v/>
      </c>
    </row>
    <row r="148">
      <c r="H148" s="201" t="n"/>
      <c r="I148" s="202">
        <f>IFERROR(IF(F148="","",IF(OR(H148="",H148=0),IF(G148="","",G148),ROUND(F148*(1-H148),2))),"")</f>
        <v/>
      </c>
    </row>
    <row r="149">
      <c r="H149" s="201" t="n"/>
      <c r="I149" s="202">
        <f>IFERROR(IF(F149="","",IF(OR(H149="",H149=0),IF(G149="","",G149),ROUND(F149*(1-H149),2))),"")</f>
        <v/>
      </c>
    </row>
    <row r="150">
      <c r="H150" s="201" t="n"/>
      <c r="I150" s="202">
        <f>IFERROR(IF(F150="","",IF(OR(H150="",H150=0),IF(G150="","",G150),ROUND(F150*(1-H150),2))),"")</f>
        <v/>
      </c>
    </row>
    <row r="151">
      <c r="H151" s="201" t="n"/>
      <c r="I151" s="202">
        <f>IFERROR(IF(F151="","",IF(OR(H151="",H151=0),IF(G151="","",G151),ROUND(F151*(1-H151),2))),"")</f>
        <v/>
      </c>
    </row>
    <row r="152">
      <c r="H152" s="201" t="n"/>
      <c r="I152" s="202">
        <f>IFERROR(IF(F152="","",IF(OR(H152="",H152=0),IF(G152="","",G152),ROUND(F152*(1-H152),2))),"")</f>
        <v/>
      </c>
    </row>
    <row r="153">
      <c r="H153" s="201" t="n"/>
      <c r="I153" s="202">
        <f>IFERROR(IF(F153="","",IF(OR(H153="",H153=0),IF(G153="","",G153),ROUND(F153*(1-H153),2))),"")</f>
        <v/>
      </c>
    </row>
    <row r="154">
      <c r="H154" s="201" t="n"/>
      <c r="I154" s="202">
        <f>IFERROR(IF(F154="","",IF(OR(H154="",H154=0),IF(G154="","",G154),ROUND(F154*(1-H154),2))),"")</f>
        <v/>
      </c>
    </row>
    <row r="155">
      <c r="H155" s="201" t="n"/>
      <c r="I155" s="202">
        <f>IFERROR(IF(F155="","",IF(OR(H155="",H155=0),IF(G155="","",G155),ROUND(F155*(1-H155),2))),"")</f>
        <v/>
      </c>
    </row>
    <row r="156">
      <c r="H156" s="201" t="n"/>
      <c r="I156" s="202">
        <f>IFERROR(IF(F156="","",IF(OR(H156="",H156=0),IF(G156="","",G156),ROUND(F156*(1-H156),2))),"")</f>
        <v/>
      </c>
    </row>
    <row r="157">
      <c r="H157" s="201" t="n"/>
      <c r="I157" s="202">
        <f>IFERROR(IF(F157="","",IF(OR(H157="",H157=0),IF(G157="","",G157),ROUND(F157*(1-H157),2))),"")</f>
        <v/>
      </c>
    </row>
    <row r="158">
      <c r="H158" s="201" t="n"/>
      <c r="I158" s="202">
        <f>IFERROR(IF(F158="","",IF(OR(H158="",H158=0),IF(G158="","",G158),ROUND(F158*(1-H158),2))),"")</f>
        <v/>
      </c>
    </row>
    <row r="159">
      <c r="H159" s="201" t="n"/>
      <c r="I159" s="202">
        <f>IFERROR(IF(F159="","",IF(OR(H159="",H159=0),IF(G159="","",G159),ROUND(F159*(1-H159),2))),"")</f>
        <v/>
      </c>
    </row>
    <row r="160">
      <c r="H160" s="201" t="n"/>
      <c r="I160" s="202">
        <f>IFERROR(IF(F160="","",IF(OR(H160="",H160=0),IF(G160="","",G160),ROUND(F160*(1-H160),2))),"")</f>
        <v/>
      </c>
    </row>
    <row r="161">
      <c r="H161" s="201" t="n"/>
      <c r="I161" s="202">
        <f>IFERROR(IF(F161="","",IF(OR(H161="",H161=0),IF(G161="","",G161),ROUND(F161*(1-H161),2))),"")</f>
        <v/>
      </c>
    </row>
    <row r="162">
      <c r="H162" s="201" t="n"/>
      <c r="I162" s="202">
        <f>IFERROR(IF(F162="","",IF(OR(H162="",H162=0),IF(G162="","",G162),ROUND(F162*(1-H162),2))),"")</f>
        <v/>
      </c>
    </row>
    <row r="163">
      <c r="H163" s="201" t="n"/>
      <c r="I163" s="202">
        <f>IFERROR(IF(F163="","",IF(OR(H163="",H163=0),IF(G163="","",G163),ROUND(F163*(1-H163),2))),"")</f>
        <v/>
      </c>
    </row>
    <row r="164">
      <c r="H164" s="201" t="n"/>
      <c r="I164" s="202">
        <f>IFERROR(IF(F164="","",IF(OR(H164="",H164=0),IF(G164="","",G164),ROUND(F164*(1-H164),2))),"")</f>
        <v/>
      </c>
    </row>
    <row r="165">
      <c r="H165" s="201" t="n"/>
      <c r="I165" s="202">
        <f>IFERROR(IF(F165="","",IF(OR(H165="",H165=0),IF(G165="","",G165),ROUND(F165*(1-H165),2))),"")</f>
        <v/>
      </c>
    </row>
    <row r="166">
      <c r="H166" s="201" t="n"/>
      <c r="I166" s="202">
        <f>IFERROR(IF(F166="","",IF(OR(H166="",H166=0),IF(G166="","",G166),ROUND(F166*(1-H166),2))),"")</f>
        <v/>
      </c>
    </row>
    <row r="167">
      <c r="H167" s="201" t="n"/>
      <c r="I167" s="202">
        <f>IFERROR(IF(F167="","",IF(OR(H167="",H167=0),IF(G167="","",G167),ROUND(F167*(1-H167),2))),"")</f>
        <v/>
      </c>
    </row>
    <row r="168">
      <c r="H168" s="201" t="n"/>
      <c r="I168" s="202">
        <f>IFERROR(IF(F168="","",IF(OR(H168="",H168=0),IF(G168="","",G168),ROUND(F168*(1-H168),2))),"")</f>
        <v/>
      </c>
    </row>
    <row r="169">
      <c r="H169" s="201" t="n"/>
      <c r="I169" s="202">
        <f>IFERROR(IF(F169="","",IF(OR(H169="",H169=0),IF(G169="","",G169),ROUND(F169*(1-H169),2))),"")</f>
        <v/>
      </c>
    </row>
    <row r="170">
      <c r="H170" s="201" t="n"/>
      <c r="I170" s="202">
        <f>IFERROR(IF(F170="","",IF(OR(H170="",H170=0),IF(G170="","",G170),ROUND(F170*(1-H170),2))),"")</f>
        <v/>
      </c>
    </row>
    <row r="171">
      <c r="H171" s="201" t="n"/>
      <c r="I171" s="202">
        <f>IFERROR(IF(F171="","",IF(OR(H171="",H171=0),IF(G171="","",G171),ROUND(F171*(1-H171),2))),"")</f>
        <v/>
      </c>
    </row>
    <row r="172">
      <c r="H172" s="201" t="n"/>
      <c r="I172" s="202">
        <f>IFERROR(IF(F172="","",IF(OR(H172="",H172=0),IF(G172="","",G172),ROUND(F172*(1-H172),2))),"")</f>
        <v/>
      </c>
    </row>
    <row r="173">
      <c r="H173" s="201" t="n"/>
      <c r="I173" s="202">
        <f>IFERROR(IF(F173="","",IF(OR(H173="",H173=0),IF(G173="","",G173),ROUND(F173*(1-H173),2))),"")</f>
        <v/>
      </c>
    </row>
    <row r="174">
      <c r="H174" s="201" t="n"/>
      <c r="I174" s="202">
        <f>IFERROR(IF(F174="","",IF(OR(H174="",H174=0),IF(G174="","",G174),ROUND(F174*(1-H174),2))),"")</f>
        <v/>
      </c>
    </row>
    <row r="175">
      <c r="H175" s="201" t="n"/>
      <c r="I175" s="202">
        <f>IFERROR(IF(F175="","",IF(OR(H175="",H175=0),IF(G175="","",G175),ROUND(F175*(1-H175),2))),"")</f>
        <v/>
      </c>
    </row>
    <row r="176">
      <c r="H176" s="201" t="n"/>
      <c r="I176" s="202">
        <f>IFERROR(IF(F176="","",IF(OR(H176="",H176=0),IF(G176="","",G176),ROUND(F176*(1-H176),2))),"")</f>
        <v/>
      </c>
    </row>
    <row r="177">
      <c r="H177" s="201" t="n"/>
      <c r="I177" s="202">
        <f>IFERROR(IF(F177="","",IF(OR(H177="",H177=0),IF(G177="","",G177),ROUND(F177*(1-H177),2))),"")</f>
        <v/>
      </c>
    </row>
    <row r="178">
      <c r="H178" s="201" t="n"/>
      <c r="I178" s="202">
        <f>IFERROR(IF(F178="","",IF(OR(H178="",H178=0),IF(G178="","",G178),ROUND(F178*(1-H178),2))),"")</f>
        <v/>
      </c>
    </row>
    <row r="179">
      <c r="H179" s="201" t="n"/>
      <c r="I179" s="202">
        <f>IFERROR(IF(F179="","",IF(OR(H179="",H179=0),IF(G179="","",G179),ROUND(F179*(1-H179),2))),"")</f>
        <v/>
      </c>
    </row>
    <row r="180">
      <c r="H180" s="201" t="n"/>
      <c r="I180" s="202">
        <f>IFERROR(IF(F180="","",IF(OR(H180="",H180=0),IF(G180="","",G180),ROUND(F180*(1-H180),2))),"")</f>
        <v/>
      </c>
    </row>
    <row r="181">
      <c r="H181" s="201" t="n"/>
      <c r="I181" s="202">
        <f>IFERROR(IF(F181="","",IF(OR(H181="",H181=0),IF(G181="","",G181),ROUND(F181*(1-H181),2))),"")</f>
        <v/>
      </c>
    </row>
    <row r="182">
      <c r="H182" s="201" t="n"/>
      <c r="I182" s="202">
        <f>IFERROR(IF(F182="","",IF(OR(H182="",H182=0),IF(G182="","",G182),ROUND(F182*(1-H182),2))),"")</f>
        <v/>
      </c>
    </row>
    <row r="183">
      <c r="H183" s="201" t="n"/>
      <c r="I183" s="202">
        <f>IFERROR(IF(F183="","",IF(OR(H183="",H183=0),IF(G183="","",G183),ROUND(F183*(1-H183),2))),"")</f>
        <v/>
      </c>
    </row>
    <row r="184">
      <c r="H184" s="201" t="n"/>
      <c r="I184" s="202">
        <f>IFERROR(IF(F184="","",IF(OR(H184="",H184=0),IF(G184="","",G184),ROUND(F184*(1-H184),2))),"")</f>
        <v/>
      </c>
    </row>
    <row r="185">
      <c r="H185" s="201" t="n"/>
      <c r="I185" s="202">
        <f>IFERROR(IF(F185="","",IF(OR(H185="",H185=0),IF(G185="","",G185),ROUND(F185*(1-H185),2))),"")</f>
        <v/>
      </c>
    </row>
    <row r="186">
      <c r="H186" s="201" t="n"/>
      <c r="I186" s="202">
        <f>IFERROR(IF(F186="","",IF(OR(H186="",H186=0),IF(G186="","",G186),ROUND(F186*(1-H186),2))),"")</f>
        <v/>
      </c>
    </row>
    <row r="187">
      <c r="H187" s="201" t="n"/>
      <c r="I187" s="202">
        <f>IFERROR(IF(F187="","",IF(OR(H187="",H187=0),IF(G187="","",G187),ROUND(F187*(1-H187),2))),"")</f>
        <v/>
      </c>
    </row>
    <row r="188">
      <c r="H188" s="201" t="n"/>
      <c r="I188" s="202">
        <f>IFERROR(IF(F188="","",IF(OR(H188="",H188=0),IF(G188="","",G188),ROUND(F188*(1-H188),2))),"")</f>
        <v/>
      </c>
    </row>
    <row r="189">
      <c r="H189" s="201" t="n"/>
      <c r="I189" s="202">
        <f>IFERROR(IF(F189="","",IF(OR(H189="",H189=0),IF(G189="","",G189),ROUND(F189*(1-H189),2))),"")</f>
        <v/>
      </c>
    </row>
    <row r="190">
      <c r="H190" s="201" t="n"/>
      <c r="I190" s="202">
        <f>IFERROR(IF(F190="","",IF(OR(H190="",H190=0),IF(G190="","",G190),ROUND(F190*(1-H190),2))),"")</f>
        <v/>
      </c>
    </row>
    <row r="191">
      <c r="H191" s="201" t="n"/>
      <c r="I191" s="202">
        <f>IFERROR(IF(F191="","",IF(OR(H191="",H191=0),IF(G191="","",G191),ROUND(F191*(1-H191),2))),"")</f>
        <v/>
      </c>
    </row>
    <row r="192">
      <c r="H192" s="201" t="n"/>
      <c r="I192" s="202">
        <f>IFERROR(IF(F192="","",IF(OR(H192="",H192=0),IF(G192="","",G192),ROUND(F192*(1-H192),2))),"")</f>
        <v/>
      </c>
    </row>
    <row r="193">
      <c r="H193" s="201" t="n"/>
      <c r="I193" s="202">
        <f>IFERROR(IF(F193="","",IF(OR(H193="",H193=0),IF(G193="","",G193),ROUND(F193*(1-H193),2))),"")</f>
        <v/>
      </c>
    </row>
    <row r="194">
      <c r="H194" s="201" t="n"/>
      <c r="I194" s="202">
        <f>IFERROR(IF(F194="","",IF(OR(H194="",H194=0),IF(G194="","",G194),ROUND(F194*(1-H194),2))),"")</f>
        <v/>
      </c>
    </row>
    <row r="195">
      <c r="H195" s="201" t="n"/>
      <c r="I195" s="202">
        <f>IFERROR(IF(F195="","",IF(OR(H195="",H195=0),IF(G195="","",G195),ROUND(F195*(1-H195),2))),"")</f>
        <v/>
      </c>
    </row>
    <row r="196">
      <c r="H196" s="201" t="n"/>
      <c r="I196" s="202">
        <f>IFERROR(IF(F196="","",IF(OR(H196="",H196=0),IF(G196="","",G196),ROUND(F196*(1-H196),2))),"")</f>
        <v/>
      </c>
    </row>
    <row r="197">
      <c r="H197" s="201" t="n"/>
      <c r="I197" s="202">
        <f>IFERROR(IF(F197="","",IF(OR(H197="",H197=0),IF(G197="","",G197),ROUND(F197*(1-H197),2))),"")</f>
        <v/>
      </c>
    </row>
    <row r="198">
      <c r="H198" s="201" t="n"/>
      <c r="I198" s="202">
        <f>IFERROR(IF(F198="","",IF(OR(H198="",H198=0),IF(G198="","",G198),ROUND(F198*(1-H198),2))),"")</f>
        <v/>
      </c>
    </row>
    <row r="199">
      <c r="H199" s="201" t="n"/>
      <c r="I199" s="202">
        <f>IFERROR(IF(F199="","",IF(OR(H199="",H199=0),IF(G199="","",G199),ROUND(F199*(1-H199),2))),"")</f>
        <v/>
      </c>
    </row>
    <row r="200">
      <c r="H200" s="201" t="n"/>
      <c r="I200" s="202">
        <f>IFERROR(IF(F200="","",IF(OR(H200="",H200=0),IF(G200="","",G200),ROUND(F200*(1-H200),2))),"")</f>
        <v/>
      </c>
    </row>
  </sheetData>
  <mergeCells count="8">
    <mergeCell ref="A1:T1"/>
    <mergeCell ref="A2:V2"/>
    <mergeCell ref="O7:P7"/>
    <mergeCell ref="L7:M7"/>
    <mergeCell ref="F7:I7"/>
    <mergeCell ref="A1:V1"/>
    <mergeCell ref="A7:D7"/>
    <mergeCell ref="Q7:V7"/>
  </mergeCells>
  <conditionalFormatting sqref="G10:G13">
    <cfRule type="expression" priority="17" dxfId="30">
      <formula>AND($I10&lt;&gt;"",$I10&lt;&gt;"Selecionar Estratégia",$J10&lt;&gt;"",$G10&lt;$J10)</formula>
    </cfRule>
  </conditionalFormatting>
  <conditionalFormatting sqref="M10:M13 O10:O13">
    <cfRule type="cellIs" priority="5" operator="between" dxfId="4">
      <formula>0.3</formula>
      <formula>0.99</formula>
    </cfRule>
    <cfRule type="cellIs" priority="6" operator="between" dxfId="7">
      <formula>-0.99</formula>
      <formula>-0.01</formula>
    </cfRule>
    <cfRule type="cellIs" priority="7" operator="between" dxfId="0">
      <formula>0</formula>
      <formula>0.09</formula>
    </cfRule>
    <cfRule type="cellIs" priority="8" operator="between" dxfId="3">
      <formula>9%</formula>
      <formula>30%</formula>
    </cfRule>
  </conditionalFormatting>
  <conditionalFormatting sqref="M11">
    <cfRule type="cellIs" priority="1" operator="equal" dxfId="14">
      <formula>0</formula>
    </cfRule>
  </conditionalFormatting>
  <dataValidations count="2">
    <dataValidation sqref="H10:H200" showDropDown="0" showInputMessage="0" showErrorMessage="0" allowBlank="1" type="list">
      <formula1>tb_desconto_de_para[Desc DE→PARA]</formula1>
    </dataValidation>
    <dataValidation sqref="K10:K200" showDropDown="0" showInputMessage="0" showErrorMessage="0" allowBlank="1" type="list">
      <formula1>Auxiliar!$A$45:$A$50</formula1>
    </dataValidation>
  </dataValidations>
  <hyperlinks>
    <hyperlink ref="L8" location="Auxiliar!A96" display="Tabela de taxa"/>
  </hyperlink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2">
    <tabColor rgb="FFFFFF00"/>
    <outlinePr summaryBelow="1" summaryRight="1"/>
    <pageSetUpPr/>
  </sheetPr>
  <dimension ref="A1:CP10"/>
  <sheetViews>
    <sheetView showGridLines="0" tabSelected="1" zoomScale="85" zoomScaleNormal="85" workbookViewId="0">
      <pane xSplit="4" ySplit="9" topLeftCell="E10" activePane="bottomRight" state="frozen"/>
      <selection pane="topRight"/>
      <selection pane="bottomLeft"/>
      <selection pane="bottomRight" activeCell="G12" sqref="G12"/>
    </sheetView>
  </sheetViews>
  <sheetFormatPr baseColWidth="8" defaultColWidth="18.85546875" defaultRowHeight="12.75"/>
  <cols>
    <col width="18" customWidth="1" style="37" min="1" max="1"/>
    <col width="9" customWidth="1" style="37" min="2" max="2"/>
    <col width="18" customWidth="1" style="37" min="3" max="3"/>
    <col width="30" customWidth="1" style="41" min="4" max="4"/>
    <col width="12" customWidth="1" style="37" min="5" max="5"/>
    <col width="11" customWidth="1" style="37" min="6" max="6"/>
    <col width="13" customWidth="1" style="37" min="7" max="7"/>
    <col width="11" customWidth="1" style="37" min="8" max="8"/>
    <col width="13" customWidth="1" style="37" min="9" max="9"/>
    <col width="13" bestFit="1" customWidth="1" style="37" min="10" max="10"/>
    <col width="13" customWidth="1" style="37" min="11" max="11"/>
    <col width="9" customWidth="1" style="37" min="12" max="12"/>
    <col width="18" customWidth="1" style="37" min="13" max="13"/>
    <col width="10" customWidth="1" style="37" min="14" max="14"/>
    <col width="12" customWidth="1" style="37" min="15" max="15"/>
    <col width="13" customWidth="1" style="37" min="16" max="16"/>
    <col hidden="1" width="10" customWidth="1" style="37" min="17" max="17"/>
    <col width="12" customWidth="1" style="37" min="18" max="18"/>
    <col width="12" customWidth="1" style="37" min="19" max="19"/>
    <col width="14" customWidth="1" style="37" min="20" max="20"/>
    <col width="11" customWidth="1" style="37" min="21" max="21"/>
    <col width="11" customWidth="1" style="37" min="22" max="22"/>
    <col width="11" customWidth="1" style="37" min="23" max="23"/>
    <col width="11" customWidth="1" style="37" min="24" max="24"/>
    <col width="11" customWidth="1" style="37" min="25" max="25"/>
    <col width="11" customWidth="1" style="37" min="26" max="26"/>
    <col hidden="1" width="13.7109375" customWidth="1" style="37" min="27" max="27"/>
    <col hidden="1" width="14.42578125" customWidth="1" style="37" min="28" max="28"/>
    <col hidden="1" width="22" customWidth="1" style="37" min="29" max="29"/>
    <col hidden="1" width="23.85546875" customWidth="1" style="37" min="30" max="30"/>
    <col hidden="1" width="39.42578125" customWidth="1" style="37" min="31" max="31"/>
    <col hidden="1" width="18.85546875" customWidth="1" style="37" min="32" max="85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0.140625" customWidth="1" style="37" min="86" max="86"/>
    <col hidden="1" width="20.5703125" customWidth="1" style="37" min="87" max="87"/>
    <col hidden="1" width="12.140625" customWidth="1" style="37" min="88" max="88"/>
    <col hidden="1" width="8.42578125" customWidth="1" style="37" min="89" max="89"/>
    <col hidden="1" width="14.42578125" customWidth="1" style="37" min="90" max="90"/>
    <col hidden="1" width="18.85546875" customWidth="1" style="37" min="91" max="93"/>
    <col hidden="1" width="13" customWidth="1" min="92" max="92"/>
    <col hidden="1" width="13" customWidth="1" min="93" max="93"/>
    <col hidden="1" width="1.7109375" customWidth="1" style="37" min="94" max="94"/>
    <col width="18.85546875" customWidth="1" style="37" min="95" max="16384"/>
  </cols>
  <sheetData>
    <row r="1" ht="30" customHeight="1">
      <c r="A1" s="213" t="inlineStr">
        <is>
          <t>🛒  MERCADO LIVRE — Tabela de Precificação 2026</t>
        </is>
      </c>
    </row>
    <row r="2" ht="16" customHeight="1">
      <c r="A2" s="214" t="inlineStr">
        <is>
          <t>Frete por peso automático · % DE→PARA personalizável · Estratégia de margem (dropdown) · Taxa de categoria (dropdown) · Erros BS10 e CO10 corrigidos</t>
        </is>
      </c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  <c r="AL2" s="38" t="n"/>
      <c r="AM2" s="38" t="n"/>
      <c r="AN2" s="38" t="n"/>
      <c r="AO2" s="38" t="n"/>
      <c r="AP2" s="38" t="n"/>
      <c r="AQ2" s="38" t="n"/>
      <c r="AR2" s="38" t="n"/>
      <c r="AS2" s="38" t="n"/>
      <c r="AT2" s="38" t="n"/>
      <c r="AU2" s="38" t="n"/>
      <c r="AV2" s="38" t="n"/>
      <c r="AW2" s="38" t="n"/>
      <c r="AX2" s="38" t="n"/>
      <c r="AY2" s="38" t="n"/>
      <c r="AZ2" s="38" t="n"/>
      <c r="BA2" s="38" t="n"/>
      <c r="BB2" s="38" t="n"/>
      <c r="BC2" s="38" t="n"/>
      <c r="BD2" s="38" t="n"/>
      <c r="BE2" s="38" t="n"/>
      <c r="BF2" s="38" t="n"/>
      <c r="BG2" s="38" t="n"/>
      <c r="BH2" s="38" t="n"/>
      <c r="BI2" s="38" t="n"/>
      <c r="BJ2" s="38" t="n"/>
      <c r="BK2" s="38" t="n"/>
      <c r="BL2" s="38" t="n"/>
      <c r="BM2" s="38" t="n"/>
      <c r="BN2" s="38" t="n"/>
      <c r="BO2" s="38" t="n"/>
      <c r="BP2" s="38" t="n"/>
      <c r="BQ2" s="38" t="n"/>
      <c r="BR2" s="38" t="n"/>
      <c r="BS2" s="38" t="n"/>
      <c r="BT2" s="38" t="n"/>
      <c r="BU2" s="38" t="n"/>
      <c r="BV2" s="38" t="n"/>
      <c r="BW2" s="38" t="n"/>
      <c r="BX2" s="38" t="n"/>
      <c r="BY2" s="38" t="n"/>
      <c r="BZ2" s="38" t="n"/>
      <c r="CA2" s="38" t="n"/>
      <c r="CB2" s="38" t="n"/>
      <c r="CC2" s="38" t="n"/>
      <c r="CD2" s="38" t="n"/>
      <c r="CE2" s="38" t="n"/>
      <c r="CF2" s="38" t="n"/>
      <c r="CG2" s="38" t="n"/>
      <c r="CH2" s="38" t="n"/>
      <c r="CI2" s="38" t="n"/>
      <c r="CJ2" s="38" t="n"/>
      <c r="CK2" s="38" t="n"/>
      <c r="CL2" s="38" t="n"/>
      <c r="CM2" s="38" t="n"/>
      <c r="CN2" s="38" t="n"/>
      <c r="CO2" s="38" t="n"/>
      <c r="CP2" s="38" t="n"/>
    </row>
    <row r="3" ht="5" customHeight="1">
      <c r="A3" s="215" t="n"/>
      <c r="B3" s="215" t="n"/>
      <c r="C3" s="215" t="n"/>
      <c r="D3" s="216" t="n"/>
      <c r="E3" s="215" t="n"/>
      <c r="F3" s="215" t="n"/>
      <c r="G3" s="215" t="n"/>
      <c r="H3" s="215" t="n"/>
      <c r="I3" s="215" t="n"/>
      <c r="J3" s="215" t="n"/>
      <c r="K3" s="215" t="n"/>
      <c r="L3" s="215" t="n"/>
      <c r="M3" s="215" t="n"/>
      <c r="N3" s="215" t="n"/>
      <c r="O3" s="215" t="n"/>
      <c r="P3" s="215" t="n"/>
      <c r="Q3" s="215" t="n"/>
      <c r="R3" s="215" t="n"/>
      <c r="S3" s="215" t="n"/>
      <c r="T3" s="215" t="n"/>
      <c r="U3" s="215" t="n"/>
      <c r="V3" s="215" t="n"/>
      <c r="W3" s="215" t="n"/>
      <c r="X3" s="215" t="n"/>
      <c r="Y3" s="215" t="n"/>
      <c r="Z3" s="215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  <c r="AL3" s="38" t="n"/>
      <c r="AM3" s="38" t="n"/>
      <c r="AN3" s="38" t="n"/>
      <c r="AO3" s="38" t="n"/>
      <c r="AP3" s="38" t="n"/>
      <c r="AQ3" s="38" t="n"/>
      <c r="AR3" s="38" t="n"/>
      <c r="AS3" s="38" t="n"/>
      <c r="AT3" s="38" t="n"/>
      <c r="AU3" s="38" t="n"/>
      <c r="AV3" s="38" t="n"/>
      <c r="AW3" s="38" t="n"/>
      <c r="AX3" s="38" t="n"/>
      <c r="AY3" s="38" t="n"/>
      <c r="AZ3" s="38" t="n"/>
      <c r="BA3" s="38" t="n"/>
      <c r="BB3" s="38" t="n"/>
      <c r="BC3" s="38" t="n"/>
      <c r="BD3" s="38" t="n"/>
      <c r="BE3" s="38" t="n"/>
      <c r="BF3" s="38" t="n"/>
      <c r="BG3" s="38" t="n"/>
      <c r="BH3" s="38" t="n"/>
      <c r="BI3" s="38" t="n"/>
      <c r="BJ3" s="38" t="n"/>
      <c r="BK3" s="38" t="n"/>
      <c r="BL3" s="38" t="n"/>
      <c r="BM3" s="38" t="n"/>
      <c r="BN3" s="38" t="n"/>
      <c r="BO3" s="38" t="n"/>
      <c r="BP3" s="38" t="n"/>
      <c r="BQ3" s="38" t="n"/>
      <c r="BR3" s="38" t="n"/>
      <c r="BS3" s="38" t="n"/>
      <c r="BT3" s="38" t="n"/>
      <c r="BU3" s="38" t="n"/>
      <c r="BV3" s="38" t="n"/>
      <c r="BW3" s="38" t="n"/>
      <c r="BX3" s="38" t="n"/>
      <c r="BY3" s="38" t="n"/>
      <c r="BZ3" s="38" t="n"/>
      <c r="CA3" s="38" t="n"/>
      <c r="CB3" s="38" t="n"/>
      <c r="CC3" s="38" t="n"/>
      <c r="CD3" s="38" t="n"/>
      <c r="CE3" s="38" t="n"/>
      <c r="CF3" s="38" t="n"/>
      <c r="CG3" s="38" t="n"/>
      <c r="CH3" s="38" t="n"/>
      <c r="CI3" s="38" t="n"/>
      <c r="CJ3" s="38" t="n"/>
      <c r="CK3" s="38" t="n"/>
      <c r="CL3" s="38" t="n"/>
      <c r="CM3" s="38" t="n"/>
      <c r="CN3" s="38" t="n"/>
    </row>
    <row r="4">
      <c r="A4" s="38" t="n"/>
      <c r="B4" s="38" t="n"/>
      <c r="C4" s="38" t="n"/>
      <c r="D4" s="40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38" t="n"/>
      <c r="AD4" s="38" t="n"/>
      <c r="AE4" s="38" t="n"/>
      <c r="AF4" s="38" t="n"/>
      <c r="AG4" s="38" t="n"/>
      <c r="AH4" s="38" t="n"/>
      <c r="AI4" s="38" t="n"/>
      <c r="AJ4" s="38" t="n"/>
      <c r="AK4" s="38" t="n"/>
      <c r="AL4" s="38" t="n"/>
      <c r="AM4" s="38" t="n"/>
      <c r="AN4" s="38" t="n"/>
      <c r="AO4" s="38" t="n"/>
      <c r="AP4" s="38" t="n"/>
      <c r="AQ4" s="38" t="n"/>
      <c r="AR4" s="38" t="n"/>
      <c r="AS4" s="38" t="n"/>
      <c r="AT4" s="38" t="n"/>
      <c r="AU4" s="38" t="n"/>
      <c r="AV4" s="38" t="n"/>
      <c r="AW4" s="38" t="n"/>
      <c r="AX4" s="38" t="n"/>
      <c r="AY4" s="38" t="n"/>
      <c r="AZ4" s="38" t="n"/>
      <c r="BA4" s="38" t="n"/>
      <c r="BB4" s="38" t="n"/>
      <c r="BC4" s="38" t="n"/>
      <c r="BD4" s="38" t="n"/>
      <c r="BE4" s="38" t="n"/>
      <c r="BF4" s="38" t="n"/>
      <c r="BG4" s="38" t="n"/>
      <c r="BH4" s="38" t="n"/>
      <c r="BI4" s="38" t="n"/>
      <c r="BJ4" s="38" t="n"/>
      <c r="BK4" s="38" t="n"/>
      <c r="BL4" s="38" t="n"/>
      <c r="BM4" s="38" t="n"/>
      <c r="BN4" s="38" t="n"/>
      <c r="BO4" s="38" t="n"/>
      <c r="BP4" s="38" t="n"/>
      <c r="BQ4" s="38" t="n"/>
      <c r="BR4" s="38" t="n"/>
      <c r="BS4" s="38" t="n"/>
      <c r="BT4" s="38" t="n"/>
      <c r="BU4" s="38" t="n"/>
      <c r="BV4" s="38" t="n"/>
      <c r="BW4" s="38" t="n"/>
      <c r="BX4" s="38" t="n"/>
      <c r="BY4" s="38" t="n"/>
      <c r="BZ4" s="38" t="n"/>
      <c r="CA4" s="38" t="n"/>
      <c r="CB4" s="38" t="n"/>
      <c r="CC4" s="38" t="n"/>
      <c r="CD4" s="38" t="n"/>
      <c r="CE4" s="38" t="n"/>
      <c r="CF4" s="38" t="n"/>
      <c r="CG4" s="38" t="n"/>
      <c r="CH4" s="38" t="n"/>
      <c r="CI4" s="38" t="n"/>
      <c r="CJ4" s="38" t="n"/>
      <c r="CK4" s="38" t="n"/>
      <c r="CL4" s="38" t="n"/>
      <c r="CM4" s="38" t="n"/>
      <c r="CN4" s="38" t="n"/>
    </row>
    <row r="5">
      <c r="A5" s="38" t="n"/>
      <c r="B5" s="38" t="n"/>
      <c r="C5" s="38" t="n"/>
      <c r="D5" s="40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8" t="n"/>
      <c r="AW5" s="38" t="n"/>
      <c r="AX5" s="38" t="n"/>
      <c r="AY5" s="38" t="n"/>
      <c r="AZ5" s="38" t="n"/>
      <c r="BA5" s="38" t="n"/>
      <c r="BB5" s="38" t="n"/>
      <c r="BC5" s="38" t="n"/>
      <c r="BD5" s="38" t="n"/>
      <c r="BE5" s="38" t="n"/>
      <c r="BF5" s="38" t="n"/>
      <c r="BG5" s="38" t="n"/>
      <c r="BH5" s="38" t="n"/>
      <c r="BI5" s="38" t="n"/>
      <c r="BJ5" s="38" t="n"/>
      <c r="BK5" s="38" t="n"/>
      <c r="BL5" s="38" t="n"/>
      <c r="BM5" s="38" t="n"/>
      <c r="BN5" s="38" t="n"/>
      <c r="BO5" s="38" t="n"/>
      <c r="BP5" s="38" t="n"/>
      <c r="BQ5" s="38" t="n"/>
      <c r="BR5" s="38" t="n"/>
      <c r="BS5" s="38" t="n"/>
      <c r="BT5" s="38" t="n"/>
      <c r="BU5" s="38" t="n"/>
      <c r="BV5" s="38" t="n"/>
      <c r="BW5" s="38" t="n"/>
      <c r="BX5" s="38" t="n"/>
      <c r="BY5" s="38" t="n"/>
      <c r="BZ5" s="38" t="n"/>
      <c r="CA5" s="38" t="n"/>
      <c r="CB5" s="38" t="n"/>
      <c r="CC5" s="38" t="n"/>
      <c r="CD5" s="38" t="n"/>
      <c r="CE5" s="38" t="n"/>
      <c r="CF5" s="38" t="n"/>
      <c r="CG5" s="38" t="n"/>
      <c r="CH5" s="38" t="n"/>
      <c r="CI5" s="38" t="n"/>
      <c r="CJ5" s="38" t="n"/>
      <c r="CK5" s="38" t="n"/>
      <c r="CL5" s="38" t="n"/>
      <c r="CM5" s="38" t="n"/>
      <c r="CN5" s="38" t="n"/>
    </row>
    <row r="6">
      <c r="A6" s="38" t="n"/>
      <c r="B6" s="38" t="n"/>
      <c r="C6" s="38" t="n"/>
      <c r="D6" s="40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8" t="n"/>
      <c r="AJ6" s="38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8" t="n"/>
      <c r="AW6" s="38" t="n"/>
      <c r="AX6" s="38" t="n"/>
      <c r="AY6" s="38" t="n"/>
      <c r="AZ6" s="38" t="n"/>
      <c r="BA6" s="38" t="n"/>
      <c r="BB6" s="38" t="n"/>
      <c r="BC6" s="38" t="n"/>
      <c r="BD6" s="38" t="n"/>
      <c r="BE6" s="38" t="n"/>
      <c r="BF6" s="38" t="n"/>
      <c r="BG6" s="38" t="n"/>
      <c r="BH6" s="38" t="n"/>
      <c r="BI6" s="38" t="n"/>
      <c r="BJ6" s="38" t="n"/>
      <c r="BK6" s="38" t="n"/>
      <c r="BL6" s="38" t="n"/>
      <c r="BM6" s="38" t="n"/>
      <c r="BN6" s="38" t="n"/>
      <c r="BO6" s="38" t="n"/>
      <c r="BP6" s="38" t="n"/>
      <c r="BQ6" s="38" t="n"/>
      <c r="BR6" s="38" t="n"/>
      <c r="BS6" s="38" t="n"/>
      <c r="BT6" s="38" t="n"/>
      <c r="BU6" s="38" t="n"/>
      <c r="BV6" s="38" t="n"/>
      <c r="BW6" s="38" t="n"/>
      <c r="BX6" s="38" t="n"/>
      <c r="BY6" s="38" t="n"/>
      <c r="BZ6" s="38" t="n"/>
      <c r="CA6" s="38" t="n"/>
      <c r="CB6" s="38" t="n"/>
      <c r="CC6" s="38" t="n"/>
      <c r="CD6" s="38" t="n"/>
      <c r="CE6" s="38" t="n"/>
      <c r="CF6" s="38" t="n"/>
      <c r="CG6" s="38" t="n"/>
      <c r="CH6" s="38" t="n"/>
      <c r="CI6" s="38" t="n"/>
      <c r="CJ6" s="38" t="n"/>
      <c r="CK6" s="38" t="n"/>
      <c r="CL6" s="38" t="n"/>
      <c r="CM6" s="38" t="n"/>
      <c r="CN6" s="38" t="n"/>
    </row>
    <row r="7" ht="20" customHeight="1">
      <c r="A7" s="180" t="inlineStr">
        <is>
          <t>IDENTIFICAÇÃO</t>
        </is>
      </c>
      <c r="E7" s="181" t="inlineStr">
        <is>
          <t>PESO</t>
        </is>
      </c>
      <c r="F7" s="217" t="inlineStr">
        <is>
          <t>CUSTOS</t>
        </is>
      </c>
      <c r="I7" s="217" t="inlineStr">
        <is>
          <t>PREÇOS DE → PARA</t>
        </is>
      </c>
      <c r="L7" s="180" t="inlineStr">
        <is>
          <t>IMPOSTO / ESTRATÉGIA</t>
        </is>
      </c>
      <c r="N7" s="183" t="inlineStr">
        <is>
          <t>CUPOM</t>
        </is>
      </c>
      <c r="O7" s="183" t="inlineStr">
        <is>
          <t>ALVO / TAXA</t>
        </is>
      </c>
      <c r="Q7" s="181" t="inlineStr">
        <is>
          <t>FRETE</t>
        </is>
      </c>
      <c r="S7" s="184" t="inlineStr">
        <is>
          <t>RESULTADO</t>
        </is>
      </c>
      <c r="U7" s="185" t="inlineStr">
        <is>
          <t>PREÇOS MÍNIMOS POR MARGEM →</t>
        </is>
      </c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  <c r="BA7" s="38" t="n"/>
      <c r="BB7" s="38" t="n"/>
      <c r="BC7" s="38" t="n"/>
      <c r="BD7" s="38" t="n"/>
      <c r="BE7" s="38" t="n"/>
      <c r="BF7" s="38" t="n"/>
      <c r="BG7" s="38" t="n"/>
      <c r="BH7" s="38" t="n"/>
      <c r="BI7" s="38" t="n"/>
      <c r="BJ7" s="38" t="n"/>
      <c r="BK7" s="38" t="n"/>
      <c r="BL7" s="38" t="n"/>
      <c r="BM7" s="38" t="n"/>
      <c r="BN7" s="38" t="n"/>
      <c r="BO7" s="38" t="n"/>
      <c r="BP7" s="38" t="n"/>
      <c r="BQ7" s="38" t="n"/>
      <c r="BR7" s="38" t="n"/>
      <c r="BS7" s="38" t="n"/>
      <c r="BT7" s="38" t="n"/>
      <c r="BU7" s="38" t="n"/>
      <c r="BV7" s="38" t="n"/>
      <c r="BW7" s="38" t="n"/>
      <c r="BX7" s="38" t="n"/>
      <c r="BY7" s="38" t="n"/>
      <c r="BZ7" s="38" t="n"/>
      <c r="CA7" s="38" t="n"/>
      <c r="CB7" s="38" t="n"/>
      <c r="CC7" s="38" t="n"/>
      <c r="CD7" s="38" t="n"/>
      <c r="CE7" s="38" t="n"/>
      <c r="CF7" s="38" t="n"/>
      <c r="CG7" s="38" t="n"/>
      <c r="CH7" s="38" t="n"/>
      <c r="CI7" s="38" t="n"/>
      <c r="CJ7" s="38" t="n"/>
      <c r="CK7" s="38" t="n"/>
      <c r="CL7" s="38" t="n"/>
      <c r="CM7" s="38" t="n"/>
      <c r="CN7" s="38" t="n"/>
    </row>
    <row r="8" ht="30" customFormat="1" customHeight="1" s="93">
      <c r="A8" s="91" t="n"/>
      <c r="B8" s="91" t="n"/>
      <c r="C8" s="92" t="inlineStr">
        <is>
          <t>INFO ?</t>
        </is>
      </c>
      <c r="D8" s="92" t="inlineStr">
        <is>
          <t>INFO ?</t>
        </is>
      </c>
      <c r="E8" s="91" t="n"/>
      <c r="F8" s="92" t="inlineStr">
        <is>
          <t>INFO ?</t>
        </is>
      </c>
      <c r="G8" s="92" t="inlineStr">
        <is>
          <t>INFO ?</t>
        </is>
      </c>
      <c r="H8" s="38" t="n"/>
      <c r="I8" s="92" t="inlineStr">
        <is>
          <t>INFO ?</t>
        </is>
      </c>
      <c r="J8" s="38" t="n"/>
      <c r="K8" s="38" t="n"/>
      <c r="L8" s="92" t="inlineStr">
        <is>
          <t>INFO ?</t>
        </is>
      </c>
      <c r="M8" s="92" t="inlineStr">
        <is>
          <t>INFO ?</t>
        </is>
      </c>
      <c r="N8" s="98" t="inlineStr">
        <is>
          <t>Tabela de frete</t>
        </is>
      </c>
      <c r="O8" s="91" t="n"/>
      <c r="P8" s="92" t="inlineStr">
        <is>
          <t>INFO ?</t>
        </is>
      </c>
      <c r="Q8" s="91" t="n"/>
      <c r="R8" s="91" t="n"/>
      <c r="S8" s="91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8" t="n"/>
      <c r="AJ8" s="38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8" t="n"/>
      <c r="AW8" s="38" t="n"/>
      <c r="AX8" s="38" t="n"/>
      <c r="AY8" s="38" t="n"/>
      <c r="AZ8" s="38" t="n"/>
      <c r="BA8" s="38" t="n"/>
      <c r="BB8" s="38" t="n"/>
      <c r="BC8" s="38" t="n"/>
      <c r="BD8" s="38" t="n"/>
      <c r="BE8" s="38" t="n"/>
      <c r="BF8" s="38" t="n"/>
      <c r="BG8" s="38" t="n"/>
      <c r="BH8" s="38" t="n"/>
      <c r="BI8" s="38" t="n"/>
      <c r="BJ8" s="38" t="n"/>
      <c r="BK8" s="38" t="n"/>
      <c r="BL8" s="38" t="n"/>
      <c r="BM8" s="38" t="n"/>
      <c r="BN8" s="38" t="n"/>
      <c r="BO8" s="38" t="n"/>
      <c r="BP8" s="38" t="n"/>
      <c r="BQ8" s="38" t="n"/>
      <c r="BR8" s="38" t="n"/>
      <c r="BS8" s="38" t="n"/>
      <c r="BT8" s="38" t="n"/>
      <c r="BU8" s="38" t="n"/>
      <c r="BV8" s="38" t="n"/>
      <c r="BW8" s="38" t="n"/>
      <c r="BX8" s="38" t="n"/>
      <c r="BY8" s="38" t="n"/>
      <c r="BZ8" s="38" t="n"/>
      <c r="CA8" s="38" t="n"/>
      <c r="CB8" s="38" t="n"/>
      <c r="CC8" s="38" t="n"/>
      <c r="CD8" s="38" t="n"/>
      <c r="CE8" s="38" t="n"/>
      <c r="CF8" s="38" t="n"/>
      <c r="CG8" s="38" t="n"/>
      <c r="CH8" s="38" t="n"/>
      <c r="CI8" s="38" t="n"/>
      <c r="CJ8" s="38" t="n"/>
      <c r="CK8" s="38" t="n"/>
      <c r="CL8" s="38" t="n"/>
      <c r="CM8" s="38" t="n"/>
      <c r="CN8" s="38" t="n"/>
    </row>
    <row r="9" ht="38" customFormat="1" customHeight="1" s="107">
      <c r="A9" s="186" t="inlineStr">
        <is>
          <t>Loja</t>
        </is>
      </c>
      <c r="B9" s="186" t="inlineStr">
        <is>
          <t>Prefixo</t>
        </is>
      </c>
      <c r="C9" s="186" t="inlineStr">
        <is>
          <t>SKU</t>
        </is>
      </c>
      <c r="D9" s="186" t="inlineStr">
        <is>
          <t>Título</t>
        </is>
      </c>
      <c r="E9" s="187" t="inlineStr">
        <is>
          <t>Peso</t>
        </is>
      </c>
      <c r="F9" s="218" t="inlineStr">
        <is>
          <t>Custo</t>
        </is>
      </c>
      <c r="G9" s="218" t="inlineStr">
        <is>
          <t>Custo Embalagem</t>
        </is>
      </c>
      <c r="H9" s="218" t="inlineStr">
        <is>
          <t>Custo Final</t>
        </is>
      </c>
      <c r="I9" s="218" t="inlineStr">
        <is>
          <t>Preço Cadastro DE</t>
        </is>
      </c>
      <c r="J9" s="219" t="inlineStr">
        <is>
          <t>Desconto Para(%)</t>
        </is>
      </c>
      <c r="K9" s="218" t="inlineStr">
        <is>
          <t>PARA</t>
        </is>
      </c>
      <c r="L9" s="187" t="inlineStr">
        <is>
          <t>Imposto (Nfe)</t>
        </is>
      </c>
      <c r="M9" s="186" t="inlineStr">
        <is>
          <t>Estratégia de Preço</t>
        </is>
      </c>
      <c r="N9" s="220" t="inlineStr">
        <is>
          <t>Cupom (%)</t>
        </is>
      </c>
      <c r="O9" s="221" t="inlineStr">
        <is>
          <t>Preço alvo</t>
        </is>
      </c>
      <c r="P9" s="221" t="inlineStr">
        <is>
          <t>Taxa de Categoria</t>
        </is>
      </c>
      <c r="Q9" s="187" t="inlineStr">
        <is>
          <t>Frete base</t>
        </is>
      </c>
      <c r="R9" s="222" t="inlineStr">
        <is>
          <t>Frete após Desconto</t>
        </is>
      </c>
      <c r="S9" s="191" t="inlineStr">
        <is>
          <t>Margem de Contribuição</t>
        </is>
      </c>
      <c r="T9" s="191" t="inlineStr">
        <is>
          <t>Lucro por Unidade</t>
        </is>
      </c>
      <c r="U9" s="192" t="inlineStr">
        <is>
          <t>35% DE MARGEM</t>
        </is>
      </c>
      <c r="V9" s="192" t="inlineStr">
        <is>
          <t>30% DE MARGEM</t>
        </is>
      </c>
      <c r="W9" s="192" t="inlineStr">
        <is>
          <t>23% DE MARGEM</t>
        </is>
      </c>
      <c r="X9" s="192" t="inlineStr">
        <is>
          <t>17% DE MARGEM</t>
        </is>
      </c>
      <c r="Y9" s="192" t="inlineStr">
        <is>
          <t>10% DE MARGEM</t>
        </is>
      </c>
      <c r="Z9" s="192" t="inlineStr">
        <is>
          <t>0% DE MARGEM</t>
        </is>
      </c>
      <c r="AA9" s="90" t="inlineStr">
        <is>
          <t>Base 35% sem frete</t>
        </is>
      </c>
      <c r="AB9" s="90" t="inlineStr">
        <is>
          <t>Faixa Frete 35%</t>
        </is>
      </c>
      <c r="AC9" s="90" t="inlineStr">
        <is>
          <t>Teste 35 F1</t>
        </is>
      </c>
      <c r="AD9" s="90" t="inlineStr">
        <is>
          <t>Teste 35 F2</t>
        </is>
      </c>
      <c r="AE9" s="90" t="inlineStr">
        <is>
          <t>Teste 35 F3</t>
        </is>
      </c>
      <c r="AF9" s="90" t="inlineStr">
        <is>
          <t>Teste 35 F4</t>
        </is>
      </c>
      <c r="AG9" s="90" t="inlineStr">
        <is>
          <t>Teste 35 F5</t>
        </is>
      </c>
      <c r="AH9" s="90" t="inlineStr">
        <is>
          <t>Teste 35 F6</t>
        </is>
      </c>
      <c r="AI9" s="90" t="inlineStr">
        <is>
          <t>Teste 35 F7</t>
        </is>
      </c>
      <c r="AJ9" s="90" t="inlineStr">
        <is>
          <t>Teste 35 F8</t>
        </is>
      </c>
      <c r="AK9" s="90" t="inlineStr">
        <is>
          <t>Preço para Frete</t>
        </is>
      </c>
      <c r="AL9" s="90" t="inlineStr">
        <is>
          <t>Frete 35</t>
        </is>
      </c>
      <c r="AM9" s="90" t="inlineStr">
        <is>
          <t>Faixa Frete com Desconto</t>
        </is>
      </c>
      <c r="AN9" s="90" t="inlineStr">
        <is>
          <t>Base 30% sem frete</t>
        </is>
      </c>
      <c r="AO9" s="90" t="inlineStr">
        <is>
          <t>Teste 30 F1</t>
        </is>
      </c>
      <c r="AP9" s="90" t="inlineStr">
        <is>
          <t>Teste 30 F2</t>
        </is>
      </c>
      <c r="AQ9" s="90" t="inlineStr">
        <is>
          <t>Teste 30 F3</t>
        </is>
      </c>
      <c r="AR9" s="90" t="inlineStr">
        <is>
          <t>Teste 30 F4</t>
        </is>
      </c>
      <c r="AS9" s="90" t="inlineStr">
        <is>
          <t>Teste 30 F5</t>
        </is>
      </c>
      <c r="AT9" s="90" t="inlineStr">
        <is>
          <t>Teste 30 F6</t>
        </is>
      </c>
      <c r="AU9" s="90" t="inlineStr">
        <is>
          <t>Teste 30 F7</t>
        </is>
      </c>
      <c r="AV9" s="90" t="inlineStr">
        <is>
          <t>Teste 30 F8</t>
        </is>
      </c>
      <c r="AW9" s="90" t="inlineStr">
        <is>
          <t>Faixa teste 30</t>
        </is>
      </c>
      <c r="AX9" s="90" t="inlineStr">
        <is>
          <t>Frete 30</t>
        </is>
      </c>
      <c r="AY9" s="90" t="inlineStr">
        <is>
          <t>Base 23% sem frete</t>
        </is>
      </c>
      <c r="AZ9" s="90" t="inlineStr">
        <is>
          <t>Teste 23 F1</t>
        </is>
      </c>
      <c r="BA9" s="90" t="inlineStr">
        <is>
          <t>Teste 23 F2</t>
        </is>
      </c>
      <c r="BB9" s="90" t="inlineStr">
        <is>
          <t>Teste 23 F3</t>
        </is>
      </c>
      <c r="BC9" s="90" t="inlineStr">
        <is>
          <t>Teste 23 F4</t>
        </is>
      </c>
      <c r="BD9" s="90" t="inlineStr">
        <is>
          <t>Teste 23 F5</t>
        </is>
      </c>
      <c r="BE9" s="90" t="inlineStr">
        <is>
          <t>Teste 23 F6</t>
        </is>
      </c>
      <c r="BF9" s="90" t="inlineStr">
        <is>
          <t>Teste 23 F7</t>
        </is>
      </c>
      <c r="BG9" s="90" t="inlineStr">
        <is>
          <t>Teste 23 F8</t>
        </is>
      </c>
      <c r="BH9" s="90" t="inlineStr">
        <is>
          <t>Faixa teste 23</t>
        </is>
      </c>
      <c r="BI9" s="90" t="inlineStr">
        <is>
          <t>Frete 23</t>
        </is>
      </c>
      <c r="BJ9" s="90" t="inlineStr">
        <is>
          <t>Base 17% sem frete</t>
        </is>
      </c>
      <c r="BK9" s="90" t="inlineStr">
        <is>
          <t>Teste 17 F1</t>
        </is>
      </c>
      <c r="BL9" s="90" t="inlineStr">
        <is>
          <t>Teste 17 F2</t>
        </is>
      </c>
      <c r="BM9" s="90" t="inlineStr">
        <is>
          <t>Teste 17 F3</t>
        </is>
      </c>
      <c r="BN9" s="90" t="inlineStr">
        <is>
          <t>Teste 17 F4</t>
        </is>
      </c>
      <c r="BO9" s="90" t="inlineStr">
        <is>
          <t>Teste 17 F5</t>
        </is>
      </c>
      <c r="BP9" s="90" t="inlineStr">
        <is>
          <t>Teste 17 F6</t>
        </is>
      </c>
      <c r="BQ9" s="90" t="inlineStr">
        <is>
          <t>Teste 17 F7</t>
        </is>
      </c>
      <c r="BR9" s="90" t="inlineStr">
        <is>
          <t>Teste 17 F8</t>
        </is>
      </c>
      <c r="BS9" s="90" t="inlineStr">
        <is>
          <t>Faixa teste 17</t>
        </is>
      </c>
      <c r="BT9" s="90" t="inlineStr">
        <is>
          <t>Frete 17</t>
        </is>
      </c>
      <c r="BU9" s="90" t="inlineStr">
        <is>
          <t>Base 10% sem frete</t>
        </is>
      </c>
      <c r="BV9" s="90" t="inlineStr">
        <is>
          <t>Teste 10 F1</t>
        </is>
      </c>
      <c r="BW9" s="90" t="inlineStr">
        <is>
          <t>Teste 10 F2</t>
        </is>
      </c>
      <c r="BX9" s="90" t="inlineStr">
        <is>
          <t>Teste 10 F3</t>
        </is>
      </c>
      <c r="BY9" s="90" t="inlineStr">
        <is>
          <t>Teste 10 F4</t>
        </is>
      </c>
      <c r="BZ9" s="90" t="inlineStr">
        <is>
          <t>Teste 10 F5</t>
        </is>
      </c>
      <c r="CA9" s="90" t="inlineStr">
        <is>
          <t>Teste 10 F6</t>
        </is>
      </c>
      <c r="CB9" s="90" t="inlineStr">
        <is>
          <t>Teste 10 F7</t>
        </is>
      </c>
      <c r="CC9" s="90" t="inlineStr">
        <is>
          <t>Teste 10 F8</t>
        </is>
      </c>
      <c r="CD9" s="90" t="inlineStr">
        <is>
          <t>Faixa teste 10</t>
        </is>
      </c>
      <c r="CE9" s="90" t="inlineStr">
        <is>
          <t>Frete 10</t>
        </is>
      </c>
      <c r="CF9" s="90" t="inlineStr">
        <is>
          <t>Base 0% sem frete</t>
        </is>
      </c>
      <c r="CG9" s="90" t="inlineStr">
        <is>
          <t>Teste 0 F1</t>
        </is>
      </c>
      <c r="CH9" s="90" t="inlineStr">
        <is>
          <t>Teste 0 F2</t>
        </is>
      </c>
      <c r="CI9" s="90" t="inlineStr">
        <is>
          <t>Teste 0 F3</t>
        </is>
      </c>
      <c r="CJ9" s="90" t="inlineStr">
        <is>
          <t>Teste 0 F4</t>
        </is>
      </c>
      <c r="CK9" s="90" t="inlineStr">
        <is>
          <t>Teste 0 F5</t>
        </is>
      </c>
      <c r="CL9" s="90" t="inlineStr">
        <is>
          <t>Teste 0 F6</t>
        </is>
      </c>
      <c r="CM9" s="90" t="inlineStr">
        <is>
          <t>Teste 0 F7</t>
        </is>
      </c>
      <c r="CN9" s="90" t="inlineStr">
        <is>
          <t>Teste 0 F8</t>
        </is>
      </c>
      <c r="CO9" s="90" t="inlineStr">
        <is>
          <t>Faixa teste 0</t>
        </is>
      </c>
      <c r="CP9" s="90" t="inlineStr">
        <is>
          <t>Frete 0</t>
        </is>
      </c>
    </row>
    <row r="10" ht="22" customHeight="1">
      <c r="A10" s="195">
        <f>IF(tb_preco_ML[[#This Row],[Prefixo]]="","",VLOOKUP(tb_preco_ML[[#This Row],[Prefixo]],Auxiliar[],2,FALSE))</f>
        <v/>
      </c>
      <c r="B10" s="195">
        <f>IF(tb_preco_ML[[#This Row],[SKU]] =  "", "",IFERROR(LEFT(tb_preco_ML[[#This Row],[SKU]],FIND(".",tb_preco_ML[[#This Row],[SKU]])-1),tb_preco_ML[[#This Row],[SKU]]))</f>
        <v/>
      </c>
      <c r="C10" s="197" t="inlineStr">
        <is>
          <t>KRICA.3P</t>
        </is>
      </c>
      <c r="D10" s="197" t="inlineStr">
        <is>
          <t>Vestido Longo Juvenil Elegante Para Festa Daminha 10 Ao 16</t>
        </is>
      </c>
      <c r="E10" s="198" t="inlineStr">
        <is>
          <t>Até 0,3 kg</t>
        </is>
      </c>
      <c r="F10" s="223" t="n">
        <v>40</v>
      </c>
      <c r="G10" s="223" t="n">
        <v>1</v>
      </c>
      <c r="H10" s="224">
        <f>IF(AND(tb_preco_ML[[#This Row],[Custo]]="",tb_preco_ML[[#This Row],[Custo Embalagem]]=""),"",IF(tb_preco_ML[[#This Row],[Custo]]="",tb_preco_ML[[#This Row],[Custo Embalagem]],IF(tb_preco_ML[[#This Row],[Custo Embalagem]]="",tb_preco_ML[[#This Row],[Custo]],tb_preco_ML[[#This Row],[Custo]]+tb_preco_ML[[#This Row],[Custo Embalagem]])))</f>
        <v/>
      </c>
      <c r="I10" s="223" t="n">
        <v>92.90000000000001</v>
      </c>
      <c r="J10" s="225" t="n">
        <v>0.1</v>
      </c>
      <c r="K10" s="226">
        <f>tb_preco_ML[[#This Row],[Preço Cadastro DE]]-(tb_preco_ML[[#This Row],[Preço Cadastro DE]]*tb_preco_ML[[#This Row],[Desconto Para(%)]])</f>
        <v/>
      </c>
      <c r="L10" s="227" t="n">
        <v>0.08</v>
      </c>
      <c r="M10" s="204" t="n">
        <v>0.1</v>
      </c>
      <c r="N10" s="228">
        <f>IFERROR(IF(OR(tb_preco_ML[[#This Row],[Estratégia de Preço]]="",tb_preco_ML[[#This Row],[Estratégia de Preço]]="Só DE/PARA",tb_preco_ML[[#This Row],[PARA]]=""),"",MAX(0,(tb_preco_ML[[#This Row],[PARA]]-IF(tb_preco_ML[[#This Row],[Estratégia de Preço]]=23%,tb_preco_ML[[#This Row],[23% DE MARGEM]],IF(tb_preco_ML[[#This Row],[Estratégia de Preço]]=17%,tb_preco_ML[[#This Row],[17% DE MARGEM]],IF(tb_preco_ML[[#This Row],[Estratégia de Preço]]=10%,tb_preco_ML[[#This Row],[10% DE MARGEM]],IF(tb_preco_ML[[#This Row],[Estratégia de Preço]]=0%,tb_preco_ML[[#This Row],[0% DE MARGEM]],tb_preco_ML[[#This Row],[PARA]])))))/tb_preco_ML[[#This Row],[PARA]])),"")</f>
        <v/>
      </c>
      <c r="O10" s="205">
        <f>IFERROR(IF(OR(tb_preco_ML[[#This Row],[Estratégia de Preço]]="",tb_preco_ML[[#This Row],[Estratégia de Preço]]="Só DE/PARA"),"",IF(tb_preco_ML[[#This Row],[Estratégia de Preço]]=35%,tb_preco_ML[[#This Row],[35% DE MARGEM]],IF(tb_preco_ML[[#This Row],[Estratégia de Preço]]=30%,tb_preco_ML[[#This Row],[30% DE MARGEM]],IF(tb_preco_ML[[#This Row],[Estratégia de Preço]]=23%,tb_preco_ML[[#This Row],[23% DE MARGEM]],IF(tb_preco_ML[[#This Row],[Estratégia de Preço]]=17%,tb_preco_ML[[#This Row],[17% DE MARGEM]],IF(tb_preco_ML[[#This Row],[Estratégia de Preço]]=10%,tb_preco_ML[[#This Row],[10% DE MARGEM]],IF(tb_preco_ML[[#This Row],[Estratégia de Preço]]=0%,tb_preco_ML[[#This Row],[0% DE MARGEM]],""))))))),"")</f>
        <v/>
      </c>
      <c r="P10" s="229" t="n">
        <v>0.19</v>
      </c>
      <c r="Q10" s="230">
        <f>IFERROR(IF(OR(tb_preco_ML[[#This Row],[Peso]]="",IF(tb_preco_ML[[#This Row],[PARA]]="",tb_preco_ML[[#This Row],[Preço Cadastro DE]],tb_preco_ML[[#This Row],[PARA]])=""),"",IF(IF(tb_preco_ML[[#This Row],[PARA]]="",tb_preco_ML[[#This Row],[Preço Cadastro DE]],tb_preco_ML[[#This Row],[PARA]])&lt;=18.99,VLOOKUP(tb_preco_ML[[#This Row],[Peso]],tb_peso_frete[],2,FALSE),IF(IF(tb_preco_ML[[#This Row],[PARA]]="",tb_preco_ML[[#This Row],[Preço Cadastro DE]],tb_preco_ML[[#This Row],[PARA]])&lt;=48.99,VLOOKUP(tb_preco_ML[[#This Row],[Peso]],tb_peso_frete[],3,FALSE),IF(IF(tb_preco_ML[[#This Row],[PARA]]="",tb_preco_ML[[#This Row],[Preço Cadastro DE]],tb_preco_ML[[#This Row],[PARA]])&lt;=78.99,VLOOKUP(tb_preco_ML[[#This Row],[Peso]],tb_peso_frete[],4,FALSE),IF(IF(tb_preco_ML[[#This Row],[PARA]]="",tb_preco_ML[[#This Row],[Preço Cadastro DE]],tb_preco_ML[[#This Row],[PARA]])&lt;=99.99,VLOOKUP(tb_preco_ML[[#This Row],[Peso]],tb_peso_frete[],5,FALSE),IF(IF(tb_preco_ML[[#This Row],[PARA]]="",tb_preco_ML[[#This Row],[Preço Cadastro DE]],tb_preco_ML[[#This Row],[PARA]])&lt;=119.99,VLOOKUP(tb_preco_ML[[#This Row],[Peso]],tb_peso_frete[],6,FALSE),IF(IF(tb_preco_ML[[#This Row],[PARA]]="",tb_preco_ML[[#This Row],[Preço Cadastro DE]],tb_preco_ML[[#This Row],[PARA]])&lt;=149.99,VLOOKUP(tb_preco_ML[[#This Row],[Peso]],tb_peso_frete[],7,FALSE),IF(IF(tb_preco_ML[[#This Row],[PARA]]="",tb_preco_ML[[#This Row],[Preço Cadastro DE]],tb_preco_ML[[#This Row],[PARA]])&lt;=199.99,VLOOKUP(tb_preco_ML[[#This Row],[Peso]],tb_peso_frete[],8,FALSE),VLOOKUP(tb_preco_ML[[#This Row],[Peso]],tb_peso_frete[],9,FALSE))))))))),"")</f>
        <v/>
      </c>
      <c r="R10" s="231">
        <f>IFERROR(IF(OR(tb_preco_ML[[#This Row],[Peso]]="",IF(tb_preco_ML[[#This Row],[Preço alvo]]="",tb_preco_ML[[#This Row],[PARA]],tb_preco_ML[[#This Row],[Preço alvo]])=""),"",IF(IF(tb_preco_ML[[#This Row],[Preço alvo]]="",tb_preco_ML[[#This Row],[PARA]],tb_preco_ML[[#This Row],[Preço alvo]])&lt;=18.99,VLOOKUP(tb_preco_ML[[#This Row],[Peso]],tb_peso_frete[],2,FALSE),IF(IF(tb_preco_ML[[#This Row],[Preço alvo]]="",tb_preco_ML[[#This Row],[PARA]],tb_preco_ML[[#This Row],[Preço alvo]])&lt;=48.99,VLOOKUP(tb_preco_ML[[#This Row],[Peso]],tb_peso_frete[],3,FALSE),IF(IF(tb_preco_ML[[#This Row],[Preço alvo]]="",tb_preco_ML[[#This Row],[PARA]],tb_preco_ML[[#This Row],[Preço alvo]])&lt;=78.99,VLOOKUP(tb_preco_ML[[#This Row],[Peso]],tb_peso_frete[],4,FALSE),IF(IF(tb_preco_ML[[#This Row],[Preço alvo]]="",tb_preco_ML[[#This Row],[PARA]],tb_preco_ML[[#This Row],[Preço alvo]])&lt;=99.99,VLOOKUP(tb_preco_ML[[#This Row],[Peso]],tb_peso_frete[],5,FALSE),IF(IF(tb_preco_ML[[#This Row],[Preço alvo]]="",tb_preco_ML[[#This Row],[PARA]],tb_preco_ML[[#This Row],[Preço alvo]])&lt;=119.99,VLOOKUP(tb_preco_ML[[#This Row],[Peso]],tb_peso_frete[],6,FALSE),IF(IF(tb_preco_ML[[#This Row],[Preço alvo]]="",tb_preco_ML[[#This Row],[PARA]],tb_preco_ML[[#This Row],[Preço alvo]])&lt;=149.99,VLOOKUP(tb_preco_ML[[#This Row],[Peso]],tb_peso_frete[],7,FALSE),IF(IF(tb_preco_ML[[#This Row],[Preço alvo]]="",tb_preco_ML[[#This Row],[PARA]],tb_preco_ML[[#This Row],[Preço alvo]])&lt;=199.99,VLOOKUP(tb_preco_ML[[#This Row],[Peso]],tb_peso_frete[],8,FALSE),VLOOKUP(tb_preco_ML[[#This Row],[Peso]],tb_peso_frete[],9,FALSE))))))))),"")</f>
        <v/>
      </c>
      <c r="S10" s="208">
        <f>IFERROR(IF(IF(tb_preco_ML[[#This Row],[Preço alvo]]="",tb_preco_ML[[#This Row],[PARA]],tb_preco_ML[[#This Row],[Preço alvo]])="","-",tb_preco_ML[[#This Row],[Lucro por Unidade]]/IF(tb_preco_ML[[#This Row],[Preço alvo]]="",tb_preco_ML[[#This Row],[PARA]],tb_preco_ML[[#This Row],[Preço alvo]])),"-")</f>
        <v/>
      </c>
      <c r="T10" s="232">
        <f>IFERROR(IF(OR(tb_preco_ML[[#This Row],[Custo Final]]="",tb_preco_ML[[#This Row],[Frete após Desconto]]="",tb_preco_ML[[#This Row],[Imposto (Nfe)]]="",tb_preco_ML[[#This Row],[Taxa de Categoria]]="",IF(tb_preco_ML[[#This Row],[Preço alvo]]="",tb_preco_ML[[#This Row],[PARA]],tb_preco_ML[[#This Row],[Preço alvo]])=""),"",IF(tb_preco_ML[[#This Row],[Preço alvo]]="",tb_preco_ML[[#This Row],[PARA]],tb_preco_ML[[#This Row],[Preço alvo]])-(IF(tb_preco_ML[[#This Row],[Preço alvo]]="",tb_preco_ML[[#This Row],[PARA]],tb_preco_ML[[#This Row],[Preço alvo]])*(tb_preco_ML[[#This Row],[Taxa de Categoria]]+tb_preco_ML[[#This Row],[Imposto (Nfe)]]))-tb_preco_ML[[#This Row],[Frete após Desconto]]-tb_preco_ML[[#This Row],[Custo Final]]),"")</f>
        <v/>
      </c>
      <c r="U10" s="211">
        <f>IFERROR(IF(OR(tb_preco_ML[[#This Row],[Custo Final]]="",tb_preco_ML[[#This Row],[Imposto (Nfe)]]="",tb_preco_ML[[#This Row],[Taxa de Categoria]]="",tb_preco_ML[[#This Row],[Frete 35]]=""),"",ROUND((tb_preco_ML[[#This Row],[Custo Final]]+tb_preco_ML[[#This Row],[Frete 35]])/(1-tb_preco_ML[[#This Row],[Taxa de Categoria]]-tb_preco_ML[[#This Row],[Imposto (Nfe)]]-35%),2)),"")</f>
        <v/>
      </c>
      <c r="V10" s="211">
        <f>IFERROR(IF(OR(tb_preco_ML[[#This Row],[Custo Final]]="",tb_preco_ML[[#This Row],[Imposto (Nfe)]]="",tb_preco_ML[[#This Row],[Taxa de Categoria]]="",tb_preco_ML[[#This Row],[Frete 30]]=""),"",ROUND((tb_preco_ML[[#This Row],[Custo Final]]+tb_preco_ML[[#This Row],[Frete 30]])/(1-tb_preco_ML[[#This Row],[Taxa de Categoria]]-tb_preco_ML[[#This Row],[Imposto (Nfe)]]-30%),2)),"")</f>
        <v/>
      </c>
      <c r="W10" s="211">
        <f>IFERROR(IF(OR(tb_preco_ML[[#This Row],[Custo Final]]="",tb_preco_ML[[#This Row],[Imposto (Nfe)]]="",tb_preco_ML[[#This Row],[Taxa de Categoria]]="",tb_preco_ML[[#This Row],[Frete 23]]=""),"",ROUND((tb_preco_ML[[#This Row],[Custo Final]]+tb_preco_ML[[#This Row],[Frete 23]])/(1-tb_preco_ML[[#This Row],[Taxa de Categoria]]-tb_preco_ML[[#This Row],[Imposto (Nfe)]]-23%),2)),"")</f>
        <v/>
      </c>
      <c r="X10" s="211">
        <f>IFERROR(IF(OR(tb_preco_ML[[#This Row],[Custo Final]]="",tb_preco_ML[[#This Row],[Imposto (Nfe)]]="",tb_preco_ML[[#This Row],[Taxa de Categoria]]="",tb_preco_ML[[#This Row],[Frete 17]]=""),"",ROUND((tb_preco_ML[[#This Row],[Custo Final]]+tb_preco_ML[[#This Row],[Frete 17]])/(1-tb_preco_ML[[#This Row],[Taxa de Categoria]]-tb_preco_ML[[#This Row],[Imposto (Nfe)]]-17%),2)),"")</f>
        <v/>
      </c>
      <c r="Y10" s="211">
        <f>IFERROR(IF(OR(tb_preco_ML[[#This Row],[Custo Final]]="",tb_preco_ML[[#This Row],[Imposto (Nfe)]]="",tb_preco_ML[[#This Row],[Taxa de Categoria]]="",tb_preco_ML[[#This Row],[Frete 10]]=""),"",ROUND((tb_preco_ML[[#This Row],[Custo Final]]+tb_preco_ML[[#This Row],[Frete 10]])/(1-tb_preco_ML[[#This Row],[Taxa de Categoria]]-tb_preco_ML[[#This Row],[Imposto (Nfe)]]-10%),2)),"")</f>
        <v/>
      </c>
      <c r="Z10" s="211">
        <f>IFERROR(IF(OR(tb_preco_ML[[#This Row],[Custo Final]]="",tb_preco_ML[[#This Row],[Imposto (Nfe)]]="",tb_preco_ML[[#This Row],[Taxa de Categoria]]="",tb_preco_ML[[#This Row],[Frete 0]]=""),"",ROUND((tb_preco_ML[[#This Row],[Custo Final]]+tb_preco_ML[[#This Row],[Frete 0]])/(1-tb_preco_ML[[#This Row],[Taxa de Categoria]]-tb_preco_ML[[#This Row],[Imposto (Nfe)]]),2)),"")</f>
        <v/>
      </c>
      <c r="AA10" s="233">
        <f>IFERROR(IF(OR(tb_preco_ML[[#This Row],[Custo Final]]="",tb_preco_ML[[#This Row],[Imposto (Nfe)]]="",tb_preco_ML[[#This Row],[Taxa de Categoria]]=""),"",tb_preco_ML[[#This Row],[Custo Final]]/(1-tb_preco_ML[[#This Row],[Taxa de Categoria]]-tb_preco_ML[[#This Row],[Imposto (Nfe)]]-35%)),"")</f>
        <v/>
      </c>
      <c r="AB10" s="233">
        <f>IFERROR(IF(OR(tb_preco_ML[[#This Row],[Peso]]="",tb_preco_ML[[#This Row],[Custo Final]]="",tb_preco_ML[[#This Row],[Imposto (Nfe)]]="",tb_preco_ML[[#This Row],[Taxa de Categoria]]=""),"",IF((tb_preco_ML[[#This Row],[Custo Final]]+VLOOKUP(tb_preco_ML[[#This Row],[Peso]],tb_peso_frete[],2,FALSE))/(1-tb_preco_ML[[#This Row],[Taxa de Categoria]]-tb_preco_ML[[#This Row],[Imposto (Nfe)]]-35%)&lt;=18.99,"Faixa 1",IF(AND((tb_preco_ML[[#This Row],[Custo Final]]+VLOOKUP(tb_preco_ML[[#This Row],[Peso]],tb_peso_frete[],3,FALSE))/(1-tb_preco_ML[[#This Row],[Taxa de Categoria]]-tb_preco_ML[[#This Row],[Imposto (Nfe)]]-35%)&gt;=19,(tb_preco_ML[[#This Row],[Custo Final]]+VLOOKUP(tb_preco_ML[[#This Row],[Peso]],tb_peso_frete[],3,FALSE))/(1-tb_preco_ML[[#This Row],[Taxa de Categoria]]-tb_preco_ML[[#This Row],[Imposto (Nfe)]]-35%)&lt;=48.99),"Faixa 2",IF(AND((tb_preco_ML[[#This Row],[Custo Final]]+VLOOKUP(tb_preco_ML[[#This Row],[Peso]],tb_peso_frete[],4,FALSE))/(1-tb_preco_ML[[#This Row],[Taxa de Categoria]]-tb_preco_ML[[#This Row],[Imposto (Nfe)]]-35%)&gt;=49,(tb_preco_ML[[#This Row],[Custo Final]]+VLOOKUP(tb_preco_ML[[#This Row],[Peso]],tb_peso_frete[],4,FALSE))/(1-tb_preco_ML[[#This Row],[Taxa de Categoria]]-tb_preco_ML[[#This Row],[Imposto (Nfe)]]-35%)&lt;=78.99),"Faixa 3",IF(AND((tb_preco_ML[[#This Row],[Custo Final]]+VLOOKUP(tb_preco_ML[[#This Row],[Peso]],tb_peso_frete[],5,FALSE))/(1-tb_preco_ML[[#This Row],[Taxa de Categoria]]-tb_preco_ML[[#This Row],[Imposto (Nfe)]]-35%)&gt;=79,(tb_preco_ML[[#This Row],[Custo Final]]+VLOOKUP(tb_preco_ML[[#This Row],[Peso]],tb_peso_frete[],5,FALSE))/(1-tb_preco_ML[[#This Row],[Taxa de Categoria]]-tb_preco_ML[[#This Row],[Imposto (Nfe)]]-35%)&lt;=99.99),"Faixa 4",IF(AND((tb_preco_ML[[#This Row],[Custo Final]]+VLOOKUP(tb_preco_ML[[#This Row],[Peso]],tb_peso_frete[],6,FALSE))/(1-tb_preco_ML[[#This Row],[Taxa de Categoria]]-tb_preco_ML[[#This Row],[Imposto (Nfe)]]-35%)&gt;=100,(tb_preco_ML[[#This Row],[Custo Final]]+VLOOKUP(tb_preco_ML[[#This Row],[Peso]],tb_peso_frete[],6,FALSE))/(1-tb_preco_ML[[#This Row],[Taxa de Categoria]]-tb_preco_ML[[#This Row],[Imposto (Nfe)]]-35%)&lt;=119.99),"Faixa 5",IF(AND((tb_preco_ML[[#This Row],[Custo Final]]+VLOOKUP(tb_preco_ML[[#This Row],[Peso]],tb_peso_frete[],7,FALSE))/(1-tb_preco_ML[[#This Row],[Taxa de Categoria]]-tb_preco_ML[[#This Row],[Imposto (Nfe)]]-35%)&gt;=120,(tb_preco_ML[[#This Row],[Custo Final]]+VLOOKUP(tb_preco_ML[[#This Row],[Peso]],tb_peso_frete[],7,FALSE))/(1-tb_preco_ML[[#This Row],[Taxa de Categoria]]-tb_preco_ML[[#This Row],[Imposto (Nfe)]]-35%)&lt;=149.99),"Faixa 6",IF(AND((tb_preco_ML[[#This Row],[Custo Final]]+VLOOKUP(tb_preco_ML[[#This Row],[Peso]],tb_peso_frete[],8,FALSE))/(1-tb_preco_ML[[#This Row],[Taxa de Categoria]]-tb_preco_ML[[#This Row],[Imposto (Nfe)]]-35%)&gt;=150,(tb_preco_ML[[#This Row],[Custo Final]]+VLOOKUP(tb_preco_ML[[#This Row],[Peso]],tb_peso_frete[],8,FALSE))/(1-tb_preco_ML[[#This Row],[Taxa de Categoria]]-tb_preco_ML[[#This Row],[Imposto (Nfe)]]-35%)&lt;=199.99),"Faixa 7","Faixa 8")))))))),"")</f>
        <v/>
      </c>
      <c r="AC10" s="233">
        <f>IFERROR(IF(OR(tb_preco_ML[[#This Row],[Peso]]="",tb_preco_ML[[#This Row],[Base 35% sem frete]]=""),"",tb_preco_ML[[#This Row],[Base 35% sem frete]]+VLOOKUP(tb_preco_ML[[#This Row],[Peso]],tb_peso_frete[],2,FALSE)),"")</f>
        <v/>
      </c>
      <c r="AD10" s="233">
        <f>IFERROR(IF(OR(tb_preco_ML[[#This Row],[Peso]]="",tb_preco_ML[[#This Row],[Base 35% sem frete]]=""),"",tb_preco_ML[[#This Row],[Base 35% sem frete]]+VLOOKUP(tb_preco_ML[[#This Row],[Peso]],tb_peso_frete[],3,FALSE)),"")</f>
        <v/>
      </c>
      <c r="AE10" s="233">
        <f>IFERROR(IF(OR(tb_preco_ML[[#This Row],[Peso]]="",tb_preco_ML[[#This Row],[Base 35% sem frete]]=""),"",tb_preco_ML[[#This Row],[Base 35% sem frete]]+VLOOKUP(tb_preco_ML[[#This Row],[Peso]],tb_peso_frete[],4,FALSE)),"")</f>
        <v/>
      </c>
      <c r="AF10" s="233">
        <f>IFERROR(IF(OR(tb_preco_ML[[#This Row],[Peso]]="",tb_preco_ML[[#This Row],[Base 35% sem frete]]=""),"",tb_preco_ML[[#This Row],[Base 35% sem frete]]+VLOOKUP(tb_preco_ML[[#This Row],[Peso]],tb_peso_frete[],5,FALSE)),"")</f>
        <v/>
      </c>
      <c r="AG10" s="233">
        <f>IFERROR(IF(OR(tb_preco_ML[[#This Row],[Peso]]="",tb_preco_ML[[#This Row],[Base 35% sem frete]]=""),"",tb_preco_ML[[#This Row],[Base 35% sem frete]]+VLOOKUP(tb_preco_ML[[#This Row],[Peso]],tb_peso_frete[],6,FALSE)),"")</f>
        <v/>
      </c>
      <c r="AH10" s="233">
        <f>IFERROR(IF(OR(tb_preco_ML[[#This Row],[Peso]]="",tb_preco_ML[[#This Row],[Base 35% sem frete]]=""),"",tb_preco_ML[[#This Row],[Base 35% sem frete]]+VLOOKUP(tb_preco_ML[[#This Row],[Peso]],tb_peso_frete[],7,FALSE)),"")</f>
        <v/>
      </c>
      <c r="AI10" s="233">
        <f>IFERROR(IF(OR(tb_preco_ML[[#This Row],[Peso]]="",tb_preco_ML[[#This Row],[Base 35% sem frete]]=""),"",tb_preco_ML[[#This Row],[Base 35% sem frete]]+VLOOKUP(tb_preco_ML[[#This Row],[Peso]],tb_peso_frete[],8,FALSE)),"")</f>
        <v/>
      </c>
      <c r="AJ10" s="233">
        <f>IFERROR(IF(OR(tb_preco_ML[[#This Row],[Peso]]="",tb_preco_ML[[#This Row],[Base 35% sem frete]]=""),"",tb_preco_ML[[#This Row],[Base 35% sem frete]]+VLOOKUP(tb_preco_ML[[#This Row],[Peso]],tb_peso_frete[],9,FALSE)),"")</f>
        <v/>
      </c>
      <c r="AK10" s="234">
        <f>IFERROR(IF(tb_preco_ML[[#This Row],[Preço alvo]]="",tb_preco_ML[[#This Row],[PARA]],tb_preco_ML[[#This Row],[Preço alvo]]),"")</f>
        <v/>
      </c>
      <c r="AL10" s="234">
        <f>IFERROR(IF(OR(tb_preco_ML[[#This Row],[Peso]]="",tb_preco_ML[[#This Row],[Faixa Frete 35%]]=""),"",VLOOKUP(tb_preco_ML[[#This Row],[Peso]],tb_peso_frete[],VALUE(RIGHT(tb_preco_ML[[#This Row],[Faixa Frete 35%]],1))+1,FALSE)),"")</f>
        <v/>
      </c>
      <c r="AM10" s="234">
        <f>IFERROR(IF(tb_preco_ML[[#This Row],[Preço para Frete]]="","",IF(tb_preco_ML[[#This Row],[Preço para Frete]]&lt;=18.99,"Faixa 1",IF(tb_preco_ML[[#This Row],[Preço para Frete]]&lt;=48.99,"Faixa 2",IF(tb_preco_ML[[#This Row],[Preço para Frete]]&lt;=78.99,"Faixa 3",IF(tb_preco_ML[[#This Row],[Preço para Frete]]&lt;=99.99,"Faixa 4",IF(tb_preco_ML[[#This Row],[Preço para Frete]]&lt;=119.99,"Faixa 5",IF(tb_preco_ML[[#This Row],[Preço para Frete]]&lt;=149.99,"Faixa 6",IF(tb_preco_ML[[#This Row],[Preço para Frete]]&lt;=199.99,"Faixa 7","Faixa 8")))))))),"")</f>
        <v/>
      </c>
      <c r="AN10" s="234">
        <f>IFERROR(IF(OR(tb_preco_ML[[#This Row],[Custo Final]]="",tb_preco_ML[[#This Row],[Imposto (Nfe)]]="",tb_preco_ML[[#This Row],[Taxa de Categoria]]=""),"",tb_preco_ML[[#This Row],[Custo Final]]/(1-tb_preco_ML[[#This Row],[Taxa de Categoria]]-tb_preco_ML[[#This Row],[Imposto (Nfe)]]-30%)),"")</f>
        <v/>
      </c>
      <c r="AO10" s="234">
        <f>IFERROR(IF(OR(tb_preco_ML[[#This Row],[Peso]]="",tb_preco_ML[[#This Row],[Base 30% sem frete]]=""),"",tb_preco_ML[[#This Row],[Base 30% sem frete]]+VLOOKUP(tb_preco_ML[[#This Row],[Peso]],tb_peso_frete[],2,FALSE)),"")</f>
        <v/>
      </c>
      <c r="AP10" s="235">
        <f>IFERROR(IF(OR(tb_preco_ML[[#This Row],[Peso]]="",tb_preco_ML[[#This Row],[Base 30% sem frete]]=""),"",tb_preco_ML[[#This Row],[Base 30% sem frete]]+VLOOKUP(tb_preco_ML[[#This Row],[Peso]],tb_peso_frete[],3,FALSE)),"")</f>
        <v/>
      </c>
      <c r="AQ10" s="235">
        <f>IFERROR(IF(OR(tb_preco_ML[[#This Row],[Peso]]="",tb_preco_ML[[#This Row],[Base 30% sem frete]]=""),"",tb_preco_ML[[#This Row],[Base 30% sem frete]]+VLOOKUP(tb_preco_ML[[#This Row],[Peso]],tb_peso_frete[],4,FALSE)),"")</f>
        <v/>
      </c>
      <c r="AR10" s="235">
        <f>IFERROR(IF(OR(tb_preco_ML[[#This Row],[Peso]]="",tb_preco_ML[[#This Row],[Base 30% sem frete]]=""),"",tb_preco_ML[[#This Row],[Base 30% sem frete]]+VLOOKUP(tb_preco_ML[[#This Row],[Peso]],tb_peso_frete[],5,FALSE)),"")</f>
        <v/>
      </c>
      <c r="AS10" s="235">
        <f>IFERROR(IF(OR(tb_preco_ML[[#This Row],[Peso]]="",tb_preco_ML[[#This Row],[Base 30% sem frete]]=""),"",tb_preco_ML[[#This Row],[Base 30% sem frete]]+VLOOKUP(tb_preco_ML[[#This Row],[Peso]],tb_peso_frete[],6,FALSE)),"")</f>
        <v/>
      </c>
      <c r="AT10" s="235">
        <f>IFERROR(IF(OR(tb_preco_ML[[#This Row],[Peso]]="",tb_preco_ML[[#This Row],[Base 30% sem frete]]=""),"",tb_preco_ML[[#This Row],[Base 30% sem frete]]+VLOOKUP(tb_preco_ML[[#This Row],[Peso]],tb_peso_frete[],7,FALSE)),"")</f>
        <v/>
      </c>
      <c r="AU10" s="235">
        <f>IFERROR(IF(OR(tb_preco_ML[[#This Row],[Peso]]="",tb_preco_ML[[#This Row],[Base 30% sem frete]]=""),"",tb_preco_ML[[#This Row],[Base 30% sem frete]]+VLOOKUP(tb_preco_ML[[#This Row],[Peso]],tb_peso_frete[],8,FALSE)),"")</f>
        <v/>
      </c>
      <c r="AV10" s="235">
        <f>IFERROR(IF(OR(tb_preco_ML[[#This Row],[Peso]]="",tb_preco_ML[[#This Row],[Base 30% sem frete]]=""),"",tb_preco_ML[[#This Row],[Base 30% sem frete]]+VLOOKUP(tb_preco_ML[[#This Row],[Peso]],tb_peso_frete[],9,FALSE)),"")</f>
        <v/>
      </c>
      <c r="AW10" s="235">
        <f>IFERROR(IF(OR(tb_preco_ML[[#This Row],[Peso]]="",tb_preco_ML[[#This Row],[Custo Final]]="",tb_preco_ML[[#This Row],[Imposto (Nfe)]]="",tb_preco_ML[[#This Row],[Taxa de Categoria]]=""),"",IF((tb_preco_ML[[#This Row],[Custo Final]]+VLOOKUP(tb_preco_ML[[#This Row],[Peso]],tb_peso_frete[],2,FALSE))/(1-tb_preco_ML[[#This Row],[Taxa de Categoria]]-tb_preco_ML[[#This Row],[Imposto (Nfe)]]-30%)&lt;=18.99,"Faixa 1",IF(AND((tb_preco_ML[[#This Row],[Custo Final]]+VLOOKUP(tb_preco_ML[[#This Row],[Peso]],tb_peso_frete[],3,FALSE))/(1-tb_preco_ML[[#This Row],[Taxa de Categoria]]-tb_preco_ML[[#This Row],[Imposto (Nfe)]]-30%)&gt;=19,(tb_preco_ML[[#This Row],[Custo Final]]+VLOOKUP(tb_preco_ML[[#This Row],[Peso]],tb_peso_frete[],3,FALSE))/(1-tb_preco_ML[[#This Row],[Taxa de Categoria]]-tb_preco_ML[[#This Row],[Imposto (Nfe)]]-30%)&lt;=48.99),"Faixa 2",IF(AND((tb_preco_ML[[#This Row],[Custo Final]]+VLOOKUP(tb_preco_ML[[#This Row],[Peso]],tb_peso_frete[],4,FALSE))/(1-tb_preco_ML[[#This Row],[Taxa de Categoria]]-tb_preco_ML[[#This Row],[Imposto (Nfe)]]-30%)&gt;=49,(tb_preco_ML[[#This Row],[Custo Final]]+VLOOKUP(tb_preco_ML[[#This Row],[Peso]],tb_peso_frete[],4,FALSE))/(1-tb_preco_ML[[#This Row],[Taxa de Categoria]]-tb_preco_ML[[#This Row],[Imposto (Nfe)]]-30%)&lt;=78.99),"Faixa 3",IF(AND((tb_preco_ML[[#This Row],[Custo Final]]+VLOOKUP(tb_preco_ML[[#This Row],[Peso]],tb_peso_frete[],5,FALSE))/(1-tb_preco_ML[[#This Row],[Taxa de Categoria]]-tb_preco_ML[[#This Row],[Imposto (Nfe)]]-30%)&gt;=79,(tb_preco_ML[[#This Row],[Custo Final]]+VLOOKUP(tb_preco_ML[[#This Row],[Peso]],tb_peso_frete[],5,FALSE))/(1-tb_preco_ML[[#This Row],[Taxa de Categoria]]-tb_preco_ML[[#This Row],[Imposto (Nfe)]]-30%)&lt;=99.99),"Faixa 4",IF(AND((tb_preco_ML[[#This Row],[Custo Final]]+VLOOKUP(tb_preco_ML[[#This Row],[Peso]],tb_peso_frete[],6,FALSE))/(1-tb_preco_ML[[#This Row],[Taxa de Categoria]]-tb_preco_ML[[#This Row],[Imposto (Nfe)]]-30%)&gt;=100,(tb_preco_ML[[#This Row],[Custo Final]]+VLOOKUP(tb_preco_ML[[#This Row],[Peso]],tb_peso_frete[],6,FALSE))/(1-tb_preco_ML[[#This Row],[Taxa de Categoria]]-tb_preco_ML[[#This Row],[Imposto (Nfe)]]-30%)&lt;=119.99),"Faixa 5",IF(AND((tb_preco_ML[[#This Row],[Custo Final]]+VLOOKUP(tb_preco_ML[[#This Row],[Peso]],tb_peso_frete[],7,FALSE))/(1-tb_preco_ML[[#This Row],[Taxa de Categoria]]-tb_preco_ML[[#This Row],[Imposto (Nfe)]]-30%)&gt;=120,(tb_preco_ML[[#This Row],[Custo Final]]+VLOOKUP(tb_preco_ML[[#This Row],[Peso]],tb_peso_frete[],7,FALSE))/(1-tb_preco_ML[[#This Row],[Taxa de Categoria]]-tb_preco_ML[[#This Row],[Imposto (Nfe)]]-30%)&lt;=149.99),"Faixa 6",IF(AND((tb_preco_ML[[#This Row],[Custo Final]]+VLOOKUP(tb_preco_ML[[#This Row],[Peso]],tb_peso_frete[],8,FALSE))/(1-tb_preco_ML[[#This Row],[Taxa de Categoria]]-tb_preco_ML[[#This Row],[Imposto (Nfe)]]-30%)&gt;=150,(tb_preco_ML[[#This Row],[Custo Final]]+VLOOKUP(tb_preco_ML[[#This Row],[Peso]],tb_peso_frete[],8,FALSE))/(1-tb_preco_ML[[#This Row],[Taxa de Categoria]]-tb_preco_ML[[#This Row],[Imposto (Nfe)]]-30%)&lt;=199.99),"Faixa 7","Faixa 8")))))))),"")</f>
        <v/>
      </c>
      <c r="AX10" s="235">
        <f>IFERROR(IF(OR(tb_preco_ML[[#This Row],[Peso]]="",tb_preco_ML[[#This Row],[Faixa teste 30]]=""),"",VLOOKUP(tb_preco_ML[[#This Row],[Peso]],tb_peso_frete[],VALUE(RIGHT(tb_preco_ML[[#This Row],[Faixa teste 30]],1))+1,FALSE)),"")</f>
        <v/>
      </c>
      <c r="AY10" s="235">
        <f>IFERROR(IF(OR(tb_preco_ML[[#This Row],[Custo Final]]="",tb_preco_ML[[#This Row],[Imposto (Nfe)]]="",tb_preco_ML[[#This Row],[Taxa de Categoria]]=""),"",tb_preco_ML[[#This Row],[Custo Final]]/(1-tb_preco_ML[[#This Row],[Taxa de Categoria]]-tb_preco_ML[[#This Row],[Imposto (Nfe)]]-23%)),"")</f>
        <v/>
      </c>
      <c r="AZ10" s="235">
        <f>IFERROR(IF(OR(tb_preco_ML[[#This Row],[Peso]]="",tb_preco_ML[[#This Row],[Base 23% sem frete]]=""),"",tb_preco_ML[[#This Row],[Base 23% sem frete]]+VLOOKUP(tb_preco_ML[[#This Row],[Peso]],tb_peso_frete[],2,FALSE)),"")</f>
        <v/>
      </c>
      <c r="BA10" s="235">
        <f>IFERROR(IF(OR(tb_preco_ML[[#This Row],[Peso]]="",tb_preco_ML[[#This Row],[Base 23% sem frete]]=""),"",tb_preco_ML[[#This Row],[Base 23% sem frete]]+VLOOKUP(tb_preco_ML[[#This Row],[Peso]],tb_peso_frete[],3,FALSE)),"")</f>
        <v/>
      </c>
      <c r="BB10" s="235">
        <f>IFERROR(IF(OR(tb_preco_ML[[#This Row],[Peso]]="",tb_preco_ML[[#This Row],[Base 23% sem frete]]=""),"",tb_preco_ML[[#This Row],[Base 23% sem frete]]+VLOOKUP(tb_preco_ML[[#This Row],[Peso]],tb_peso_frete[],4,FALSE)),"")</f>
        <v/>
      </c>
      <c r="BC10" s="235">
        <f>IFERROR(IF(OR(tb_preco_ML[[#This Row],[Peso]]="",tb_preco_ML[[#This Row],[Base 23% sem frete]]=""),"",tb_preco_ML[[#This Row],[Base 23% sem frete]]+VLOOKUP(tb_preco_ML[[#This Row],[Peso]],tb_peso_frete[],5,FALSE)),"")</f>
        <v/>
      </c>
      <c r="BD10" s="235">
        <f>IFERROR(IF(OR(tb_preco_ML[[#This Row],[Peso]]="",tb_preco_ML[[#This Row],[Base 23% sem frete]]=""),"",tb_preco_ML[[#This Row],[Base 23% sem frete]]+VLOOKUP(tb_preco_ML[[#This Row],[Peso]],tb_peso_frete[],6,FALSE)),"")</f>
        <v/>
      </c>
      <c r="BE10" s="235">
        <f>IFERROR(IF(OR(tb_preco_ML[[#This Row],[Peso]]="",tb_preco_ML[[#This Row],[Base 23% sem frete]]=""),"",tb_preco_ML[[#This Row],[Base 23% sem frete]]+VLOOKUP(tb_preco_ML[[#This Row],[Peso]],tb_peso_frete[],7,FALSE)),"")</f>
        <v/>
      </c>
      <c r="BF10" s="235">
        <f>IFERROR(IF(OR(tb_preco_ML[[#This Row],[Peso]]="",tb_preco_ML[[#This Row],[Base 23% sem frete]]=""),"",tb_preco_ML[[#This Row],[Base 23% sem frete]]+VLOOKUP(tb_preco_ML[[#This Row],[Peso]],tb_peso_frete[],8,FALSE)),"")</f>
        <v/>
      </c>
      <c r="BG10" s="235">
        <f>IFERROR(IF(OR(tb_preco_ML[[#This Row],[Peso]]="",tb_preco_ML[[#This Row],[Base 23% sem frete]]=""),"",tb_preco_ML[[#This Row],[Base 23% sem frete]]+VLOOKUP(tb_preco_ML[[#This Row],[Peso]],tb_peso_frete[],9,FALSE)),"")</f>
        <v/>
      </c>
      <c r="BH10" s="235">
        <f>IFERROR(IF(OR(tb_preco_ML[[#This Row],[Peso]]="",tb_preco_ML[[#This Row],[Custo Final]]="",tb_preco_ML[[#This Row],[Imposto (Nfe)]]="",tb_preco_ML[[#This Row],[Taxa de Categoria]]=""),"",IF((tb_preco_ML[[#This Row],[Custo Final]]+VLOOKUP(tb_preco_ML[[#This Row],[Peso]],tb_peso_frete[],2,FALSE))/(1-tb_preco_ML[[#This Row],[Taxa de Categoria]]-tb_preco_ML[[#This Row],[Imposto (Nfe)]]-23%)&lt;=18.99,"Faixa 1",IF(AND((tb_preco_ML[[#This Row],[Custo Final]]+VLOOKUP(tb_preco_ML[[#This Row],[Peso]],tb_peso_frete[],3,FALSE))/(1-tb_preco_ML[[#This Row],[Taxa de Categoria]]-tb_preco_ML[[#This Row],[Imposto (Nfe)]]-23%)&gt;=19,(tb_preco_ML[[#This Row],[Custo Final]]+VLOOKUP(tb_preco_ML[[#This Row],[Peso]],tb_peso_frete[],3,FALSE))/(1-tb_preco_ML[[#This Row],[Taxa de Categoria]]-tb_preco_ML[[#This Row],[Imposto (Nfe)]]-23%)&lt;=48.99),"Faixa 2",IF(AND((tb_preco_ML[[#This Row],[Custo Final]]+VLOOKUP(tb_preco_ML[[#This Row],[Peso]],tb_peso_frete[],4,FALSE))/(1-tb_preco_ML[[#This Row],[Taxa de Categoria]]-tb_preco_ML[[#This Row],[Imposto (Nfe)]]-23%)&gt;=49,(tb_preco_ML[[#This Row],[Custo Final]]+VLOOKUP(tb_preco_ML[[#This Row],[Peso]],tb_peso_frete[],4,FALSE))/(1-tb_preco_ML[[#This Row],[Taxa de Categoria]]-tb_preco_ML[[#This Row],[Imposto (Nfe)]]-23%)&lt;=78.99),"Faixa 3",IF(AND((tb_preco_ML[[#This Row],[Custo Final]]+VLOOKUP(tb_preco_ML[[#This Row],[Peso]],tb_peso_frete[],5,FALSE))/(1-tb_preco_ML[[#This Row],[Taxa de Categoria]]-tb_preco_ML[[#This Row],[Imposto (Nfe)]]-23%)&gt;=79,(tb_preco_ML[[#This Row],[Custo Final]]+VLOOKUP(tb_preco_ML[[#This Row],[Peso]],tb_peso_frete[],5,FALSE))/(1-tb_preco_ML[[#This Row],[Taxa de Categoria]]-tb_preco_ML[[#This Row],[Imposto (Nfe)]]-23%)&lt;=99.99),"Faixa 4",IF(AND((tb_preco_ML[[#This Row],[Custo Final]]+VLOOKUP(tb_preco_ML[[#This Row],[Peso]],tb_peso_frete[],6,FALSE))/(1-tb_preco_ML[[#This Row],[Taxa de Categoria]]-tb_preco_ML[[#This Row],[Imposto (Nfe)]]-23%)&gt;=100,(tb_preco_ML[[#This Row],[Custo Final]]+VLOOKUP(tb_preco_ML[[#This Row],[Peso]],tb_peso_frete[],6,FALSE))/(1-tb_preco_ML[[#This Row],[Taxa de Categoria]]-tb_preco_ML[[#This Row],[Imposto (Nfe)]]-23%)&lt;=119.99),"Faixa 5",IF(AND((tb_preco_ML[[#This Row],[Custo Final]]+VLOOKUP(tb_preco_ML[[#This Row],[Peso]],tb_peso_frete[],7,FALSE))/(1-tb_preco_ML[[#This Row],[Taxa de Categoria]]-tb_preco_ML[[#This Row],[Imposto (Nfe)]]-23%)&gt;=120,(tb_preco_ML[[#This Row],[Custo Final]]+VLOOKUP(tb_preco_ML[[#This Row],[Peso]],tb_peso_frete[],7,FALSE))/(1-tb_preco_ML[[#This Row],[Taxa de Categoria]]-tb_preco_ML[[#This Row],[Imposto (Nfe)]]-23%)&lt;=149.99),"Faixa 6",IF(AND((tb_preco_ML[[#This Row],[Custo Final]]+VLOOKUP(tb_preco_ML[[#This Row],[Peso]],tb_peso_frete[],8,FALSE))/(1-tb_preco_ML[[#This Row],[Taxa de Categoria]]-tb_preco_ML[[#This Row],[Imposto (Nfe)]]-23%)&gt;=150,(tb_preco_ML[[#This Row],[Custo Final]]+VLOOKUP(tb_preco_ML[[#This Row],[Peso]],tb_peso_frete[],8,FALSE))/(1-tb_preco_ML[[#This Row],[Taxa de Categoria]]-tb_preco_ML[[#This Row],[Imposto (Nfe)]]-23%)&lt;=199.99),"Faixa 7","Faixa 8")))))))),"")</f>
        <v/>
      </c>
      <c r="BI10" s="235">
        <f>IFERROR(IF(OR(tb_preco_ML[[#This Row],[Peso]]="",tb_preco_ML[[#This Row],[Faixa teste 23]]=""),"",VLOOKUP(tb_preco_ML[[#This Row],[Peso]],tb_peso_frete[],VALUE(RIGHT(tb_preco_ML[[#This Row],[Faixa teste 23]],1))+1,FALSE)),"")</f>
        <v/>
      </c>
      <c r="BJ10" s="235">
        <f>IFERROR(IF(OR(tb_preco_ML[[#This Row],[Custo Final]]="",tb_preco_ML[[#This Row],[Imposto (Nfe)]]="",tb_preco_ML[[#This Row],[Taxa de Categoria]]=""),"",tb_preco_ML[[#This Row],[Custo Final]]/(1-tb_preco_ML[[#This Row],[Taxa de Categoria]]-tb_preco_ML[[#This Row],[Imposto (Nfe)]]-17%)),"")</f>
        <v/>
      </c>
      <c r="BK10" s="235">
        <f>IFERROR(IF(OR(tb_preco_ML[[#This Row],[Peso]]="",tb_preco_ML[[#This Row],[Custo Final]]="",tb_preco_ML[[#This Row],[Imposto (Nfe)]]="",tb_preco_ML[[#This Row],[Taxa de Categoria]]=""),"",(tb_preco_ML[[#This Row],[Custo Final]]+VLOOKUP(tb_preco_ML[[#This Row],[Peso]],tb_peso_frete[],2,FALSE))/(1-tb_preco_ML[[#This Row],[Taxa de Categoria]]-tb_preco_ML[[#This Row],[Imposto (Nfe)]]-17%)),"")</f>
        <v/>
      </c>
      <c r="BL10" s="235">
        <f>IFERROR(IF(OR(tb_preco_ML[[#This Row],[Peso]]="",tb_preco_ML[[#This Row],[Custo Final]]="",tb_preco_ML[[#This Row],[Imposto (Nfe)]]="",tb_preco_ML[[#This Row],[Taxa de Categoria]]=""),"",(tb_preco_ML[[#This Row],[Custo Final]]+VLOOKUP(tb_preco_ML[[#This Row],[Peso]],tb_peso_frete[],3,FALSE))/(1-tb_preco_ML[[#This Row],[Taxa de Categoria]]-tb_preco_ML[[#This Row],[Imposto (Nfe)]]-17%)),"")</f>
        <v/>
      </c>
      <c r="BM10" s="235">
        <f>IFERROR(IF(OR(tb_preco_ML[[#This Row],[Peso]]="",tb_preco_ML[[#This Row],[Custo Final]]="",tb_preco_ML[[#This Row],[Imposto (Nfe)]]="",tb_preco_ML[[#This Row],[Taxa de Categoria]]=""),"",(tb_preco_ML[[#This Row],[Custo Final]]+VLOOKUP(tb_preco_ML[[#This Row],[Peso]],tb_peso_frete[],4,FALSE))/(1-tb_preco_ML[[#This Row],[Taxa de Categoria]]-tb_preco_ML[[#This Row],[Imposto (Nfe)]]-17%)),"")</f>
        <v/>
      </c>
      <c r="BN10" s="235">
        <f>IFERROR(IF(OR(tb_preco_ML[[#This Row],[Peso]]="",tb_preco_ML[[#This Row],[Custo Final]]="",tb_preco_ML[[#This Row],[Imposto (Nfe)]]="",tb_preco_ML[[#This Row],[Taxa de Categoria]]=""),"",(tb_preco_ML[[#This Row],[Custo Final]]+VLOOKUP(tb_preco_ML[[#This Row],[Peso]],tb_peso_frete[],5,FALSE))/(1-tb_preco_ML[[#This Row],[Taxa de Categoria]]-tb_preco_ML[[#This Row],[Imposto (Nfe)]]-17%)),"")</f>
        <v/>
      </c>
      <c r="BO10" s="235">
        <f>IFERROR(IF(OR(tb_preco_ML[[#This Row],[Peso]]="",tb_preco_ML[[#This Row],[Custo Final]]="",tb_preco_ML[[#This Row],[Imposto (Nfe)]]="",tb_preco_ML[[#This Row],[Taxa de Categoria]]=""),"",(tb_preco_ML[[#This Row],[Custo Final]]+VLOOKUP(tb_preco_ML[[#This Row],[Peso]],tb_peso_frete[],6,FALSE))/(1-tb_preco_ML[[#This Row],[Taxa de Categoria]]-tb_preco_ML[[#This Row],[Imposto (Nfe)]]-17%)),"")</f>
        <v/>
      </c>
      <c r="BP10" s="235">
        <f>IFERROR(IF(OR(tb_preco_ML[[#This Row],[Peso]]="",tb_preco_ML[[#This Row],[Custo Final]]="",tb_preco_ML[[#This Row],[Imposto (Nfe)]]="",tb_preco_ML[[#This Row],[Taxa de Categoria]]=""),"",(tb_preco_ML[[#This Row],[Custo Final]]+VLOOKUP(tb_preco_ML[[#This Row],[Peso]],tb_peso_frete[],7,FALSE))/(1-tb_preco_ML[[#This Row],[Taxa de Categoria]]-tb_preco_ML[[#This Row],[Imposto (Nfe)]]-17%)),"")</f>
        <v/>
      </c>
      <c r="BQ10" s="235">
        <f>IFERROR(IF(OR(tb_preco_ML[[#This Row],[Peso]]="",tb_preco_ML[[#This Row],[Custo Final]]="",tb_preco_ML[[#This Row],[Imposto (Nfe)]]="",tb_preco_ML[[#This Row],[Taxa de Categoria]]=""),"",(tb_preco_ML[[#This Row],[Custo Final]]+VLOOKUP(tb_preco_ML[[#This Row],[Peso]],tb_peso_frete[],8,FALSE))/(1-tb_preco_ML[[#This Row],[Taxa de Categoria]]-tb_preco_ML[[#This Row],[Imposto (Nfe)]]-17%)),"")</f>
        <v/>
      </c>
      <c r="BR10" s="235">
        <f>IFERROR(IF(OR(tb_preco_ML[[#This Row],[Peso]]="",tb_preco_ML[[#This Row],[Custo Final]]="",tb_preco_ML[[#This Row],[Imposto (Nfe)]]="",tb_preco_ML[[#This Row],[Taxa de Categoria]]=""),"",(tb_preco_ML[[#This Row],[Custo Final]]+VLOOKUP(tb_preco_ML[[#This Row],[Peso]],tb_peso_frete[],9,FALSE))/(1-tb_preco_ML[[#This Row],[Taxa de Categoria]]-tb_preco_ML[[#This Row],[Imposto (Nfe)]]-17%)),"")</f>
        <v/>
      </c>
      <c r="BS10" s="235">
        <f>IFERROR(IF(OR(tb_preco_ML[[#This Row],[Peso]]="",tb_preco_ML[[#This Row],[Custo Final]]="",tb_preco_ML[[#This Row],[Imposto (Nfe)]]="",tb_preco_ML[[#This Row],[Taxa de Categoria]]=""),"",IF((tb_preco_ML[[#This Row],[Custo Final]]+VLOOKUP(tb_preco_ML[[#This Row],[Peso]],tb_peso_frete[],2,FALSE))/(1-tb_preco_ML[[#This Row],[Taxa de Categoria]]-tb_preco_ML[[#This Row],[Imposto (Nfe)]]-17%)&lt;=18.99,"Faixa 1",IF(AND((tb_preco_ML[[#This Row],[Custo Final]]+VLOOKUP(tb_preco_ML[[#This Row],[Peso]],tb_peso_frete[],3,FALSE))/(1-tb_preco_ML[[#This Row],[Taxa de Categoria]]-tb_preco_ML[[#This Row],[Imposto (Nfe)]]-17%)&gt;=19,(tb_preco_ML[[#This Row],[Custo Final]]+VLOOKUP(tb_preco_ML[[#This Row],[Peso]],tb_peso_frete[],3,FALSE))/(1-tb_preco_ML[[#This Row],[Taxa de Categoria]]-tb_preco_ML[[#This Row],[Imposto (Nfe)]]-17%)&lt;=48.99),"Faixa 2",IF(AND((tb_preco_ML[[#This Row],[Custo Final]]+VLOOKUP(tb_preco_ML[[#This Row],[Peso]],tb_peso_frete[],4,FALSE))/(1-tb_preco_ML[[#This Row],[Taxa de Categoria]]-tb_preco_ML[[#This Row],[Imposto (Nfe)]]-17%)&gt;=49,(tb_preco_ML[[#This Row],[Custo Final]]+VLOOKUP(tb_preco_ML[[#This Row],[Peso]],tb_peso_frete[],4,FALSE))/(1-tb_preco_ML[[#This Row],[Taxa de Categoria]]-tb_preco_ML[[#This Row],[Imposto (Nfe)]]-17%)&lt;=78.99),"Faixa 3",IF(AND((tb_preco_ML[[#This Row],[Custo Final]]+VLOOKUP(tb_preco_ML[[#This Row],[Peso]],tb_peso_frete[],5,FALSE))/(1-tb_preco_ML[[#This Row],[Taxa de Categoria]]-tb_preco_ML[[#This Row],[Imposto (Nfe)]]-17%)&gt;=79,(tb_preco_ML[[#This Row],[Custo Final]]+VLOOKUP(tb_preco_ML[[#This Row],[Peso]],tb_peso_frete[],5,FALSE))/(1-tb_preco_ML[[#This Row],[Taxa de Categoria]]-tb_preco_ML[[#This Row],[Imposto (Nfe)]]-17%)&lt;=99.99),"Faixa 4",IF(AND((tb_preco_ML[[#This Row],[Custo Final]]+VLOOKUP(tb_preco_ML[[#This Row],[Peso]],tb_peso_frete[],6,FALSE))/(1-tb_preco_ML[[#This Row],[Taxa de Categoria]]-tb_preco_ML[[#This Row],[Imposto (Nfe)]]-17%)&gt;=100,(tb_preco_ML[[#This Row],[Custo Final]]+VLOOKUP(tb_preco_ML[[#This Row],[Peso]],tb_peso_frete[],6,FALSE))/(1-tb_preco_ML[[#This Row],[Taxa de Categoria]]-tb_preco_ML[[#This Row],[Imposto (Nfe)]]-17%)&lt;=119.99),"Faixa 5",IF(AND((tb_preco_ML[[#This Row],[Custo Final]]+VLOOKUP(tb_preco_ML[[#This Row],[Peso]],tb_peso_frete[],7,FALSE))/(1-tb_preco_ML[[#This Row],[Taxa de Categoria]]-tb_preco_ML[[#This Row],[Imposto (Nfe)]]-17%)&gt;=120,(tb_preco_ML[[#This Row],[Custo Final]]+VLOOKUP(tb_preco_ML[[#This Row],[Peso]],tb_peso_frete[],7,FALSE))/(1-tb_preco_ML[[#This Row],[Taxa de Categoria]]-tb_preco_ML[[#This Row],[Imposto (Nfe)]]-17%)&lt;=149.99),"Faixa 6",IF(AND((tb_preco_ML[[#This Row],[Custo Final]]+VLOOKUP(tb_preco_ML[[#This Row],[Peso]],tb_peso_frete[],8,FALSE))/(1-tb_preco_ML[[#This Row],[Taxa de Categoria]]-tb_preco_ML[[#This Row],[Imposto (Nfe)]]-17%)&gt;=150,(tb_preco_ML[[#This Row],[Custo Final]]+VLOOKUP(tb_preco_ML[[#This Row],[Peso]],tb_peso_frete[],8,FALSE))/(1-tb_preco_ML[[#This Row],[Taxa de Categoria]]-tb_preco_ML[[#This Row],[Imposto (Nfe)]]-17%)&lt;=199.99),"Faixa 7","Faixa 8")))))))),"")</f>
        <v/>
      </c>
      <c r="BT10" s="235">
        <f>IFERROR(IF(OR(tb_preco_ML[[#This Row],[Peso]]="",tb_preco_ML[[#This Row],[Faixa teste 17]]=""),"",VLOOKUP(tb_preco_ML[[#This Row],[Peso]],tb_peso_frete[],VALUE(RIGHT(tb_preco_ML[[#This Row],[Faixa teste 17]],1))+1,FALSE)),"")</f>
        <v/>
      </c>
      <c r="BU10" s="235">
        <f>IFERROR(IF(OR(tb_preco_ML[[#This Row],[Custo Final]]="",tb_preco_ML[[#This Row],[Imposto (Nfe)]]="",tb_preco_ML[[#This Row],[Taxa de Categoria]]=""),"",tb_preco_ML[[#This Row],[Custo Final]]/(1-tb_preco_ML[[#This Row],[Taxa de Categoria]]-tb_preco_ML[[#This Row],[Imposto (Nfe)]]-10%)),"")</f>
        <v/>
      </c>
      <c r="BV10" s="235">
        <f>IFERROR(IF(OR(tb_preco_ML[[#This Row],[Peso]]="",tb_preco_ML[[#This Row],[Base 10% sem frete]]=""),"",tb_preco_ML[[#This Row],[Base 10% sem frete]]+VLOOKUP(tb_preco_ML[[#This Row],[Peso]],tb_peso_frete[],2,FALSE)),"")</f>
        <v/>
      </c>
      <c r="BW10" s="235">
        <f>IFERROR(IF(OR(tb_preco_ML[[#This Row],[Peso]]="",tb_preco_ML[[#This Row],[Base 10% sem frete]]=""),"",tb_preco_ML[[#This Row],[Base 10% sem frete]]+VLOOKUP(tb_preco_ML[[#This Row],[Peso]],tb_peso_frete[],3,FALSE)),"")</f>
        <v/>
      </c>
      <c r="BX10" s="235">
        <f>IFERROR(IF(OR(tb_preco_ML[[#This Row],[Peso]]="",tb_preco_ML[[#This Row],[Base 10% sem frete]]=""),"",tb_preco_ML[[#This Row],[Base 10% sem frete]]+VLOOKUP(tb_preco_ML[[#This Row],[Peso]],tb_peso_frete[],4,FALSE)),"")</f>
        <v/>
      </c>
      <c r="BY10" s="235">
        <f>IFERROR(IF(OR(tb_preco_ML[[#This Row],[Peso]]="",tb_preco_ML[[#This Row],[Base 10% sem frete]]=""),"",tb_preco_ML[[#This Row],[Base 10% sem frete]]+VLOOKUP(tb_preco_ML[[#This Row],[Peso]],tb_peso_frete[],5,FALSE)),"")</f>
        <v/>
      </c>
      <c r="BZ10" s="235">
        <f>IFERROR(IF(OR(tb_preco_ML[[#This Row],[Peso]]="",tb_preco_ML[[#This Row],[Base 10% sem frete]]=""),"",tb_preco_ML[[#This Row],[Base 10% sem frete]]+VLOOKUP(tb_preco_ML[[#This Row],[Peso]],tb_peso_frete[],6,FALSE)),"")</f>
        <v/>
      </c>
      <c r="CA10" s="235">
        <f>IFERROR(IF(OR(tb_preco_ML[[#This Row],[Peso]]="",tb_preco_ML[[#This Row],[Base 10% sem frete]]=""),"",tb_preco_ML[[#This Row],[Base 10% sem frete]]+VLOOKUP(tb_preco_ML[[#This Row],[Peso]],tb_peso_frete[],7,FALSE)),"")</f>
        <v/>
      </c>
      <c r="CB10" s="235">
        <f>IFERROR(IF(OR(tb_preco_ML[[#This Row],[Peso]]="",tb_preco_ML[[#This Row],[Base 10% sem frete]]=""),"",tb_preco_ML[[#This Row],[Base 10% sem frete]]+VLOOKUP(tb_preco_ML[[#This Row],[Peso]],tb_peso_frete[],8,FALSE)),"")</f>
        <v/>
      </c>
      <c r="CC10" s="235">
        <f>IFERROR(IF(OR(tb_preco_ML[[#This Row],[Peso]]="",tb_preco_ML[[#This Row],[Base 10% sem frete]]=""),"",tb_preco_ML[[#This Row],[Base 10% sem frete]]+VLOOKUP(tb_preco_ML[[#This Row],[Peso]],tb_peso_frete[],9,FALSE)),"")</f>
        <v/>
      </c>
      <c r="CD10" s="235">
        <f>IFERROR(IF(OR(tb_preco_ML[[#This Row],[Peso]]="",tb_preco_ML[[#This Row],[Custo Final]]="",tb_preco_ML[[#This Row],[Imposto (Nfe)]]="",tb_preco_ML[[#This Row],[Taxa de Categoria]]=""),"",IF((tb_preco_ML[[#This Row],[Custo Final]]+VLOOKUP(tb_preco_ML[[#This Row],[Peso]],tb_peso_frete[],2,FALSE))/(1-tb_preco_ML[[#This Row],[Taxa de Categoria]]-tb_preco_ML[[#This Row],[Imposto (Nfe)]]-10%)&lt;=18.99,"Faixa 1",IF(AND((tb_preco_ML[[#This Row],[Custo Final]]+VLOOKUP(tb_preco_ML[[#This Row],[Peso]],tb_peso_frete[],3,FALSE))/(1-tb_preco_ML[[#This Row],[Taxa de Categoria]]-tb_preco_ML[[#This Row],[Imposto (Nfe)]]-10%)&gt;=19,(tb_preco_ML[[#This Row],[Custo Final]]+VLOOKUP(tb_preco_ML[[#This Row],[Peso]],tb_peso_frete[],3,FALSE))/(1-tb_preco_ML[[#This Row],[Taxa de Categoria]]-tb_preco_ML[[#This Row],[Imposto (Nfe)]]-10%)&lt;=48.99),"Faixa 2",IF(AND((tb_preco_ML[[#This Row],[Custo Final]]+VLOOKUP(tb_preco_ML[[#This Row],[Peso]],tb_peso_frete[],4,FALSE))/(1-tb_preco_ML[[#This Row],[Taxa de Categoria]]-tb_preco_ML[[#This Row],[Imposto (Nfe)]]-10%)&gt;=49,(tb_preco_ML[[#This Row],[Custo Final]]+VLOOKUP(tb_preco_ML[[#This Row],[Peso]],tb_peso_frete[],4,FALSE))/(1-tb_preco_ML[[#This Row],[Taxa de Categoria]]-tb_preco_ML[[#This Row],[Imposto (Nfe)]]-10%)&lt;=78.99),"Faixa 3",IF(AND((tb_preco_ML[[#This Row],[Custo Final]]+VLOOKUP(tb_preco_ML[[#This Row],[Peso]],tb_peso_frete[],5,FALSE))/(1-tb_preco_ML[[#This Row],[Taxa de Categoria]]-tb_preco_ML[[#This Row],[Imposto (Nfe)]]-10%)&gt;=79,(tb_preco_ML[[#This Row],[Custo Final]]+VLOOKUP(tb_preco_ML[[#This Row],[Peso]],tb_peso_frete[],5,FALSE))/(1-tb_preco_ML[[#This Row],[Taxa de Categoria]]-tb_preco_ML[[#This Row],[Imposto (Nfe)]]-10%)&lt;=99.99),"Faixa 4",IF(AND((tb_preco_ML[[#This Row],[Custo Final]]+VLOOKUP(tb_preco_ML[[#This Row],[Peso]],tb_peso_frete[],6,FALSE))/(1-tb_preco_ML[[#This Row],[Taxa de Categoria]]-tb_preco_ML[[#This Row],[Imposto (Nfe)]]-10%)&gt;=100,(tb_preco_ML[[#This Row],[Custo Final]]+VLOOKUP(tb_preco_ML[[#This Row],[Peso]],tb_peso_frete[],6,FALSE))/(1-tb_preco_ML[[#This Row],[Taxa de Categoria]]-tb_preco_ML[[#This Row],[Imposto (Nfe)]]-10%)&lt;=119.99),"Faixa 5",IF(AND((tb_preco_ML[[#This Row],[Custo Final]]+VLOOKUP(tb_preco_ML[[#This Row],[Peso]],tb_peso_frete[],7,FALSE))/(1-tb_preco_ML[[#This Row],[Taxa de Categoria]]-tb_preco_ML[[#This Row],[Imposto (Nfe)]]-10%)&gt;=120,(tb_preco_ML[[#This Row],[Custo Final]]+VLOOKUP(tb_preco_ML[[#This Row],[Peso]],tb_peso_frete[],7,FALSE))/(1-tb_preco_ML[[#This Row],[Taxa de Categoria]]-tb_preco_ML[[#This Row],[Imposto (Nfe)]]-10%)&lt;=149.99),"Faixa 6",IF(AND((tb_preco_ML[[#This Row],[Custo Final]]+VLOOKUP(tb_preco_ML[[#This Row],[Peso]],tb_peso_frete[],8,FALSE))/(1-tb_preco_ML[[#This Row],[Taxa de Categoria]]-tb_preco_ML[[#This Row],[Imposto (Nfe)]]-10%)&gt;=150,(tb_preco_ML[[#This Row],[Custo Final]]+VLOOKUP(tb_preco_ML[[#This Row],[Peso]],tb_peso_frete[],8,FALSE))/(1-tb_preco_ML[[#This Row],[Taxa de Categoria]]-tb_preco_ML[[#This Row],[Imposto (Nfe)]]-10%)&lt;=199.99),"Faixa 7","Faixa 8")))))))),"")</f>
        <v/>
      </c>
      <c r="CE10" s="235">
        <f>IFERROR(IF(OR(tb_preco_ML[[#This Row],[Peso]]="",tb_preco_ML[[#This Row],[Faixa teste 10]]=""),"",VLOOKUP(tb_preco_ML[[#This Row],[Peso]],tb_peso_frete[],VALUE(RIGHT(tb_preco_ML[[#This Row],[Faixa teste 10]],1))+1,FALSE)),"")</f>
        <v/>
      </c>
      <c r="CF10" s="235">
        <f>IFERROR(IF(OR(tb_preco_ML[[#This Row],[Custo Final]]="",tb_preco_ML[[#This Row],[Imposto (Nfe)]]="",tb_preco_ML[[#This Row],[Taxa de Categoria]]=""),"",tb_preco_ML[[#This Row],[Custo Final]]/(1-tb_preco_ML[[#This Row],[Taxa de Categoria]]-tb_preco_ML[[#This Row],[Imposto (Nfe)]])),"")</f>
        <v/>
      </c>
      <c r="CG10" s="235">
        <f>IFERROR(IF(OR(tb_preco_ML[[#This Row],[Peso]]="",tb_preco_ML[[#This Row],[Base 0% sem frete]]=""),"",tb_preco_ML[[#This Row],[Base 0% sem frete]]+VLOOKUP(tb_preco_ML[[#This Row],[Peso]],tb_peso_frete[],2,FALSE)),"")</f>
        <v/>
      </c>
      <c r="CH10" s="235">
        <f>IFERROR(IF(OR(tb_preco_ML[[#This Row],[Peso]]="",tb_preco_ML[[#This Row],[Base 0% sem frete]]=""),"",tb_preco_ML[[#This Row],[Base 0% sem frete]]+VLOOKUP(tb_preco_ML[[#This Row],[Peso]],tb_peso_frete[],3,FALSE)),"")</f>
        <v/>
      </c>
      <c r="CI10" s="235">
        <f>IFERROR(IF(OR(tb_preco_ML[[#This Row],[Peso]]="",tb_preco_ML[[#This Row],[Base 0% sem frete]]=""),"",tb_preco_ML[[#This Row],[Base 0% sem frete]]+VLOOKUP(tb_preco_ML[[#This Row],[Peso]],tb_peso_frete[],4,FALSE)),"")</f>
        <v/>
      </c>
      <c r="CJ10" s="235">
        <f>IFERROR(IF(OR(tb_preco_ML[[#This Row],[Peso]]="",tb_preco_ML[[#This Row],[Base 0% sem frete]]=""),"",tb_preco_ML[[#This Row],[Base 0% sem frete]]+VLOOKUP(tb_preco_ML[[#This Row],[Peso]],tb_peso_frete[],5,FALSE)),"")</f>
        <v/>
      </c>
      <c r="CK10" s="235">
        <f>IFERROR(IF(OR(tb_preco_ML[[#This Row],[Peso]]="",tb_preco_ML[[#This Row],[Base 0% sem frete]]=""),"",tb_preco_ML[[#This Row],[Base 0% sem frete]]+VLOOKUP(tb_preco_ML[[#This Row],[Peso]],tb_peso_frete[],6,FALSE)),"")</f>
        <v/>
      </c>
      <c r="CL10" s="235">
        <f>IFERROR(IF(OR(tb_preco_ML[[#This Row],[Peso]]="",tb_preco_ML[[#This Row],[Base 0% sem frete]]=""),"",tb_preco_ML[[#This Row],[Base 0% sem frete]]+VLOOKUP(tb_preco_ML[[#This Row],[Peso]],tb_peso_frete[],7,FALSE)),"")</f>
        <v/>
      </c>
      <c r="CM10" s="235">
        <f>IFERROR(IF(OR(tb_preco_ML[[#This Row],[Peso]]="",tb_preco_ML[[#This Row],[Base 0% sem frete]]=""),"",tb_preco_ML[[#This Row],[Base 0% sem frete]]+VLOOKUP(tb_preco_ML[[#This Row],[Peso]],tb_peso_frete[],8,FALSE)),"")</f>
        <v/>
      </c>
      <c r="CN10" s="235">
        <f>IFERROR(IF(OR(tb_preco_ML[[#This Row],[Peso]]="",tb_preco_ML[[#This Row],[Base 0% sem frete]]=""),"",tb_preco_ML[[#This Row],[Base 0% sem frete]]+VLOOKUP(tb_preco_ML[[#This Row],[Peso]],tb_peso_frete[],9,FALSE)),"")</f>
        <v/>
      </c>
      <c r="CO10" s="235">
        <f>IFERROR(IF(OR(tb_preco_ML[[#This Row],[Peso]]="",tb_preco_ML[[#This Row],[Custo Final]]="",tb_preco_ML[[#This Row],[Imposto (Nfe)]]="",tb_preco_ML[[#This Row],[Taxa de Categoria]]=""),"",IF((tb_preco_ML[[#This Row],[Custo Final]]+VLOOKUP(tb_preco_ML[[#This Row],[Peso]],tb_peso_frete[],2,FALSE))/(1-tb_preco_ML[[#This Row],[Taxa de Categoria]]-tb_preco_ML[[#This Row],[Imposto (Nfe)]]-0%)&lt;=18.99,"Faixa 1",IF(AND((tb_preco_ML[[#This Row],[Custo Final]]+VLOOKUP(tb_preco_ML[[#This Row],[Peso]],tb_peso_frete[],3,FALSE))/(1-tb_preco_ML[[#This Row],[Taxa de Categoria]]-tb_preco_ML[[#This Row],[Imposto (Nfe)]]-0%)&gt;=19,(tb_preco_ML[[#This Row],[Custo Final]]+VLOOKUP(tb_preco_ML[[#This Row],[Peso]],tb_peso_frete[],3,FALSE))/(1-tb_preco_ML[[#This Row],[Taxa de Categoria]]-tb_preco_ML[[#This Row],[Imposto (Nfe)]]-0%)&lt;=48.99),"Faixa 2",IF(AND((tb_preco_ML[[#This Row],[Custo Final]]+VLOOKUP(tb_preco_ML[[#This Row],[Peso]],tb_peso_frete[],4,FALSE))/(1-tb_preco_ML[[#This Row],[Taxa de Categoria]]-tb_preco_ML[[#This Row],[Imposto (Nfe)]]-10%)&gt;=49,(tb_preco_ML[[#This Row],[Custo Final]]+VLOOKUP(tb_preco_ML[[#This Row],[Peso]],tb_peso_frete[],4,FALSE))/(1-tb_preco_ML[[#This Row],[Taxa de Categoria]]-tb_preco_ML[[#This Row],[Imposto (Nfe)]]-0%)&lt;=78.99),"Faixa 3",IF(AND((tb_preco_ML[[#This Row],[Custo Final]]+VLOOKUP(tb_preco_ML[[#This Row],[Peso]],tb_peso_frete[],5,FALSE))/(1-tb_preco_ML[[#This Row],[Taxa de Categoria]]-tb_preco_ML[[#This Row],[Imposto (Nfe)]]-0%)&gt;=79,(tb_preco_ML[[#This Row],[Custo Final]]+VLOOKUP(tb_preco_ML[[#This Row],[Peso]],tb_peso_frete[],5,FALSE))/(1-tb_preco_ML[[#This Row],[Taxa de Categoria]]-tb_preco_ML[[#This Row],[Imposto (Nfe)]]-0%)&lt;=99.99),"Faixa 4",IF(AND((tb_preco_ML[[#This Row],[Custo Final]]+VLOOKUP(tb_preco_ML[[#This Row],[Peso]],tb_peso_frete[],6,FALSE))/(1-tb_preco_ML[[#This Row],[Taxa de Categoria]]-tb_preco_ML[[#This Row],[Imposto (Nfe)]]-0%)&gt;=100,(tb_preco_ML[[#This Row],[Custo Final]]+VLOOKUP(tb_preco_ML[[#This Row],[Peso]],tb_peso_frete[],6,FALSE))/(1-tb_preco_ML[[#This Row],[Taxa de Categoria]]-tb_preco_ML[[#This Row],[Imposto (Nfe)]]-0%)&lt;=119.99),"Faixa 5",IF(AND((tb_preco_ML[[#This Row],[Custo Final]]+VLOOKUP(tb_preco_ML[[#This Row],[Peso]],tb_peso_frete[],7,FALSE))/(1-tb_preco_ML[[#This Row],[Taxa de Categoria]]-tb_preco_ML[[#This Row],[Imposto (Nfe)]]-0%)&gt;=120,(tb_preco_ML[[#This Row],[Custo Final]]+VLOOKUP(tb_preco_ML[[#This Row],[Peso]],tb_peso_frete[],7,FALSE))/(1-tb_preco_ML[[#This Row],[Taxa de Categoria]]-tb_preco_ML[[#This Row],[Imposto (Nfe)]]-0%)&lt;=149.99),"Faixa 6",IF(AND((tb_preco_ML[[#This Row],[Custo Final]]+VLOOKUP(tb_preco_ML[[#This Row],[Peso]],tb_peso_frete[],8,FALSE))/(1-tb_preco_ML[[#This Row],[Taxa de Categoria]]-tb_preco_ML[[#This Row],[Imposto (Nfe)]]-0%)&gt;=150,(tb_preco_ML[[#This Row],[Custo Final]]+VLOOKUP(tb_preco_ML[[#This Row],[Peso]],tb_peso_frete[],8,FALSE))/(1-tb_preco_ML[[#This Row],[Taxa de Categoria]]-tb_preco_ML[[#This Row],[Imposto (Nfe)]]-0%)&lt;=199.99),"Faixa 7","Faixa 8")))))))),"")</f>
        <v/>
      </c>
      <c r="CP10" s="235">
        <f>IFERROR(IF(OR(tb_preco_ML[[#This Row],[Peso]]="",tb_preco_ML[[#This Row],[Faixa teste 0]]=""),"",VLOOKUP(tb_preco_ML[[#This Row],[Peso]],tb_peso_frete[],VALUE(RIGHT(tb_preco_ML[[#This Row],[Faixa teste 0]],1))+1,FALSE)),"")</f>
        <v/>
      </c>
    </row>
  </sheetData>
  <mergeCells count="10">
    <mergeCell ref="O7:P7"/>
    <mergeCell ref="Q7:R7"/>
    <mergeCell ref="L7:M7"/>
    <mergeCell ref="A1:Z1"/>
    <mergeCell ref="S7:T7"/>
    <mergeCell ref="A7:D7"/>
    <mergeCell ref="A2:Z2"/>
    <mergeCell ref="F7:H7"/>
    <mergeCell ref="U7:Z7"/>
    <mergeCell ref="I7:K7"/>
  </mergeCells>
  <conditionalFormatting sqref="A10:D10">
    <cfRule type="expression" priority="11" dxfId="24">
      <formula>MOD(ROW()-9,2)=1</formula>
    </cfRule>
    <cfRule type="expression" priority="12" dxfId="23">
      <formula>MOD(ROW()-9,2)=0</formula>
    </cfRule>
  </conditionalFormatting>
  <conditionalFormatting sqref="E10:R10">
    <cfRule type="expression" priority="7" dxfId="13">
      <formula>MOD(ROW()-9,2)=1</formula>
    </cfRule>
    <cfRule type="expression" priority="8" dxfId="1">
      <formula>MOD(ROW()-9,2)=0</formula>
    </cfRule>
  </conditionalFormatting>
  <conditionalFormatting sqref="K10">
    <cfRule type="expression" priority="5" dxfId="20">
      <formula>AND(NOT(OR($M10="",$M10="Selecionar Estratégia")),$O10&lt;&gt;"",$K10&lt;$O10)</formula>
    </cfRule>
  </conditionalFormatting>
  <conditionalFormatting sqref="S10">
    <cfRule type="cellIs" priority="13" operator="between" dxfId="8">
      <formula>0.16</formula>
      <formula>0.179</formula>
    </cfRule>
    <cfRule type="cellIs" priority="19" operator="greaterThanOrEqual" dxfId="18">
      <formula>29.9%</formula>
    </cfRule>
    <cfRule type="cellIs" priority="20" operator="between" dxfId="17">
      <formula>0.23</formula>
      <formula>0.299</formula>
    </cfRule>
    <cfRule type="cellIs" priority="21" operator="between" dxfId="16">
      <formula>16.9</formula>
      <formula>0.229</formula>
    </cfRule>
    <cfRule type="cellIs" priority="22" operator="between" dxfId="15">
      <formula>0.1</formula>
      <formula>0.169</formula>
    </cfRule>
    <cfRule type="cellIs" priority="23" operator="lessThan" dxfId="14">
      <formula>0.1</formula>
    </cfRule>
  </conditionalFormatting>
  <conditionalFormatting sqref="T10">
    <cfRule type="expression" priority="3" dxfId="13">
      <formula>MOD(ROW()-9,2)=1</formula>
    </cfRule>
    <cfRule type="expression" priority="4" dxfId="1">
      <formula>MOD(ROW()-9,2)=0</formula>
    </cfRule>
  </conditionalFormatting>
  <conditionalFormatting sqref="U10:Z10">
    <cfRule type="expression" priority="1" dxfId="11">
      <formula>MOD(ROW()-9,2)=1</formula>
    </cfRule>
    <cfRule type="expression" priority="2" dxfId="10">
      <formula>MOD(ROW()-9,2)=0</formula>
    </cfRule>
  </conditionalFormatting>
  <dataValidations count="3">
    <dataValidation sqref="M10:M200" showDropDown="0" showInputMessage="0" showErrorMessage="0" allowBlank="1" type="list">
      <formula1>Auxiliar!$A$45:$A$50</formula1>
    </dataValidation>
    <dataValidation sqref="P10:P200" showDropDown="0" showInputMessage="0" showErrorMessage="0" allowBlank="1" type="list">
      <formula1>Auxiliar!$K$57:$K$67</formula1>
    </dataValidation>
    <dataValidation sqref="J10:J200" showDropDown="0" showInputMessage="0" showErrorMessage="0" allowBlank="1" type="list">
      <formula1>tb_desconto_de_para[Desc DE→PARA]</formula1>
    </dataValidation>
  </dataValidations>
  <hyperlinks>
    <hyperlink ref="N8" location="Auxiliar!A71" display="INFO ?"/>
  </hyperlink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3">
    <tabColor theme="1"/>
    <outlinePr summaryBelow="1" summaryRight="1"/>
    <pageSetUpPr/>
  </sheetPr>
  <dimension ref="A1:U200"/>
  <sheetViews>
    <sheetView showGridLines="0" zoomScale="80" zoomScaleNormal="80" workbookViewId="0">
      <pane xSplit="4" ySplit="9" topLeftCell="E10" activePane="bottomRight" state="frozen"/>
      <selection pane="topRight"/>
      <selection pane="bottomLeft"/>
      <selection pane="bottomRight" activeCell="F28" sqref="F28"/>
    </sheetView>
  </sheetViews>
  <sheetFormatPr baseColWidth="8" defaultRowHeight="15"/>
  <cols>
    <col width="18" bestFit="1" customWidth="1" min="1" max="1"/>
    <col width="9" customWidth="1" style="1" min="2" max="2"/>
    <col width="18" customWidth="1" min="3" max="3"/>
    <col width="25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9" customWidth="1" min="10" max="10"/>
    <col width="18" customWidth="1" min="11" max="11"/>
    <col width="10" customWidth="1" min="12" max="12"/>
    <col width="12" customWidth="1" min="13" max="13"/>
    <col width="12" customWidth="1" min="14" max="14"/>
    <col width="14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 ht="30" customHeight="1">
      <c r="A1" s="236" t="inlineStr">
        <is>
          <t>👗  SHEIN — Tabela de Precificação 2026</t>
        </is>
      </c>
    </row>
    <row r="2" ht="16" customHeight="1">
      <c r="A2" s="237" t="inlineStr">
        <is>
          <t>Comissão 20% · Taxa fixa R$5 (configurável em Auxiliar) · % DE→PARA personalizável · Estratégia de margem via dropdown</t>
        </is>
      </c>
    </row>
    <row r="3" ht="5" customHeight="1">
      <c r="A3" s="238" t="n"/>
      <c r="B3" s="238" t="n"/>
      <c r="C3" s="238" t="n"/>
      <c r="D3" s="238" t="n"/>
      <c r="E3" s="238" t="n"/>
      <c r="F3" s="238" t="n"/>
      <c r="G3" s="238" t="n"/>
      <c r="H3" s="238" t="n"/>
      <c r="I3" s="238" t="n"/>
      <c r="J3" s="238" t="n"/>
      <c r="K3" s="238" t="n"/>
      <c r="L3" s="238" t="n"/>
      <c r="M3" s="238" t="n"/>
      <c r="N3" s="238" t="n"/>
      <c r="O3" s="238" t="n"/>
      <c r="P3" s="238" t="n"/>
      <c r="Q3" s="238" t="n"/>
      <c r="R3" s="238" t="n"/>
      <c r="S3" s="238" t="n"/>
      <c r="T3" s="238" t="n"/>
      <c r="U3" s="238" t="n"/>
    </row>
    <row r="4">
      <c r="A4" s="10" t="n"/>
      <c r="B4" s="11" t="n"/>
      <c r="C4" s="10" t="n"/>
      <c r="D4" s="10" t="n"/>
      <c r="E4" s="10" t="n"/>
      <c r="F4" s="10" t="n"/>
      <c r="G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10" t="n"/>
      <c r="B5" s="10" t="n"/>
      <c r="C5" s="10" t="n"/>
      <c r="D5" s="10" t="n"/>
      <c r="E5" s="10" t="n"/>
      <c r="F5" s="10" t="n"/>
      <c r="G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</row>
    <row r="6">
      <c r="A6" s="10" t="n"/>
      <c r="B6" s="10" t="n"/>
      <c r="C6" s="10" t="n"/>
      <c r="D6" s="10" t="n"/>
      <c r="E6" s="10" t="n"/>
      <c r="F6" s="10" t="n"/>
      <c r="G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</row>
    <row r="7" ht="20" customHeight="1">
      <c r="A7" s="180" t="inlineStr">
        <is>
          <t>IDENTIFICAÇÃO</t>
        </is>
      </c>
      <c r="E7" s="181" t="inlineStr">
        <is>
          <t>CUSTO</t>
        </is>
      </c>
      <c r="F7" s="239" t="inlineStr">
        <is>
          <t>PREÇOS DE → PARA</t>
        </is>
      </c>
      <c r="J7" s="181" t="inlineStr">
        <is>
          <t>NFe</t>
        </is>
      </c>
      <c r="K7" s="180" t="inlineStr">
        <is>
          <t>ESTRATÉGIA</t>
        </is>
      </c>
      <c r="L7" s="183" t="inlineStr">
        <is>
          <t>CUPOM / ALVO</t>
        </is>
      </c>
      <c r="N7" s="184" t="inlineStr">
        <is>
          <t>RESULTADO</t>
        </is>
      </c>
      <c r="P7" s="185" t="inlineStr">
        <is>
          <t>PREÇOS MÍNIMOS POR MARGEM →</t>
        </is>
      </c>
    </row>
    <row r="8">
      <c r="A8" s="10" t="n"/>
      <c r="B8" s="10" t="n"/>
      <c r="C8" s="12" t="inlineStr">
        <is>
          <t>INFO ?</t>
        </is>
      </c>
      <c r="D8" s="12" t="inlineStr">
        <is>
          <t>INFO ?</t>
        </is>
      </c>
      <c r="E8" s="10" t="n"/>
      <c r="F8" s="12" t="inlineStr">
        <is>
          <t>INFO ?</t>
        </is>
      </c>
      <c r="G8" s="10" t="n"/>
      <c r="J8" s="10" t="n"/>
      <c r="K8" s="12" t="inlineStr">
        <is>
          <t>INFO ?</t>
        </is>
      </c>
      <c r="L8" s="12" t="inlineStr">
        <is>
          <t>INFO ?</t>
        </is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</row>
    <row r="9" ht="38" customHeight="1">
      <c r="A9" s="186" t="inlineStr">
        <is>
          <t>Loja</t>
        </is>
      </c>
      <c r="B9" s="186" t="inlineStr">
        <is>
          <t>Prefixo</t>
        </is>
      </c>
      <c r="C9" s="186" t="inlineStr">
        <is>
          <t>SKU</t>
        </is>
      </c>
      <c r="D9" s="186" t="inlineStr">
        <is>
          <t>Produto</t>
        </is>
      </c>
      <c r="E9" s="187" t="inlineStr">
        <is>
          <t>Preço Custo</t>
        </is>
      </c>
      <c r="F9" s="240" t="inlineStr">
        <is>
          <t>Preço Cadastro DE</t>
        </is>
      </c>
      <c r="G9" s="240" t="inlineStr">
        <is>
          <t>PARA</t>
        </is>
      </c>
      <c r="H9" s="189" t="inlineStr">
        <is>
          <t>Desc. DE→PARA</t>
        </is>
      </c>
      <c r="I9" s="240" t="inlineStr">
        <is>
          <t>PARA Calculado</t>
        </is>
      </c>
      <c r="J9" s="187" t="inlineStr">
        <is>
          <t>Imposto (Nfe)</t>
        </is>
      </c>
      <c r="K9" s="241" t="inlineStr">
        <is>
          <t>Estratégia de preço</t>
        </is>
      </c>
      <c r="L9" s="190" t="inlineStr">
        <is>
          <t>Cupom(%)</t>
        </is>
      </c>
      <c r="M9" s="190" t="inlineStr">
        <is>
          <t>Preço Alvo</t>
        </is>
      </c>
      <c r="N9" s="191" t="inlineStr">
        <is>
          <t>Margem de Contribuição</t>
        </is>
      </c>
      <c r="O9" s="191" t="inlineStr">
        <is>
          <t>Lucro por unidade</t>
        </is>
      </c>
      <c r="P9" s="192" t="inlineStr">
        <is>
          <t>35% de contribuição</t>
        </is>
      </c>
      <c r="Q9" s="192" t="inlineStr">
        <is>
          <t>30% de contribuição</t>
        </is>
      </c>
      <c r="R9" s="193" t="inlineStr">
        <is>
          <t>23% de contribuição</t>
        </is>
      </c>
      <c r="S9" s="193" t="inlineStr">
        <is>
          <t>17% de contribuição</t>
        </is>
      </c>
      <c r="T9" s="194" t="inlineStr">
        <is>
          <t>10% de contribuição</t>
        </is>
      </c>
      <c r="U9" s="194" t="inlineStr">
        <is>
          <t>0% de contribuição</t>
        </is>
      </c>
    </row>
    <row r="10" ht="22" customHeight="1">
      <c r="A10" s="242">
        <f>IF(Tabela1[[#This Row],[Prefixo]]="","",VLOOKUP(Tabela1[[#This Row],[Prefixo]],Auxiliar[],2,FALSE))</f>
        <v/>
      </c>
      <c r="B10" s="242">
        <f>IF(Tabela1[[#This Row],[SKU]] =  "", "",IFERROR(LEFT(Tabela1[[#This Row],[SKU]],FIND(".",Tabela1[[#This Row],[SKU]])-1),Tabela1[[#This Row],[SKU]]))</f>
        <v/>
      </c>
      <c r="C10" s="196" t="inlineStr">
        <is>
          <t>SAMUE.101.1P</t>
        </is>
      </c>
      <c r="D10" s="196" t="inlineStr">
        <is>
          <t>Conjunto Mauricinho</t>
        </is>
      </c>
      <c r="E10" s="243" t="n">
        <v>28</v>
      </c>
      <c r="F10" s="244" t="n">
        <v>100</v>
      </c>
      <c r="G10" s="244">
        <f>Tabela1[[#This Row],[Preço Cadastro DE]]-(Tabela1[[#This Row],[Preço Cadastro DE]]*5%)</f>
        <v/>
      </c>
      <c r="H10" s="201" t="n"/>
      <c r="I10" s="245">
        <f>IFERROR(IF(F10="","",IF(OR(H10="",H10=0),IF(G10="","",G10),ROUND(F10*(1-H10),2))),"")</f>
        <v/>
      </c>
      <c r="J10" s="227" t="n">
        <v>0.08</v>
      </c>
      <c r="K10" s="246" t="n">
        <v>0.23</v>
      </c>
      <c r="L10" s="206">
        <f>IFERROR(IF(OR(Tabela1[[#This Row],[Estratégia de preço]]="",Tabela1[[#This Row],[Estratégia de preço]]="Selecionar Estratégia",Tabela1[[#This Row],[PARA]]="",Tabela1[[#This Row],[Preço Alvo]]=""),"",MAX(0,(Tabela1[[#This Row],[PARA]]-Tabela1[[#This Row],[Preço Alvo]])/Tabela1[[#This Row],[PARA]])),"")</f>
        <v/>
      </c>
      <c r="M10" s="205">
        <f>IFERROR(IF(OR(Tabela1[[#This Row],[Estratégia de preço]]="",Tabela1[[#This Row],[Estratégia de preço]]="Selecionar Estratégia"),"",IF(Tabela1[[#This Row],[Estratégia de preço]]=35%,Tabela1[[#This Row],[35% de contribuição]],IF(Tabela1[[#This Row],[Estratégia de preço]]=30%,Tabela1[[#This Row],[30% de contribuição]],IF(Tabela1[[#This Row],[Estratégia de preço]]=23%,Tabela1[[#This Row],[23% de contribuição]],IF(Tabela1[[#This Row],[Estratégia de preço]]=17%,Tabela1[[#This Row],[17% de contribuição]],IF(Tabela1[[#This Row],[Estratégia de preço]]=10%,Tabela1[[#This Row],[10% de contribuição]],IF(Tabela1[[#This Row],[Estratégia de preço]]=0%,Tabela1[[#This Row],[0% de contribuição]],""))))))),"")</f>
        <v/>
      </c>
      <c r="N10" s="208">
        <f>IF(Tabela1[[#This Row],[Cupom(%)]]="",
IFERROR((Tabela1[[#This Row],[PARA]]*0.72-5-Tabela1[[#This Row],[Preço Custo]])/Tabela1[[#This Row],[PARA]],""),
IFERROR(((Tabela1[[#This Row],[PARA]]*(1-Tabela1[[#This Row],[Cupom(%)]]))*0.72-5-Tabela1[[#This Row],[Preço Custo]])/(Tabela1[[#This Row],[PARA]]*(1-Tabela1[[#This Row],[Cupom(%)]])),""))</f>
        <v/>
      </c>
      <c r="O10" s="247">
        <f>IF(OR(Tabela1[[#This Row],[Imposto (Nfe)]]="",IF(Tabela1[[#This Row],[Preço Alvo]]="",Tabela1[[#This Row],[PARA]],Tabela1[[#This Row],[Preço Alvo]])=""),"-",IF(Tabela1[[#This Row],[Preço Alvo]]="",Tabela1[[#This Row],[PARA]],Tabela1[[#This Row],[Preço Alvo]])-(IF(Tabela1[[#This Row],[Preço Alvo]]="",Tabela1[[#This Row],[PARA]],Tabela1[[#This Row],[Preço Alvo]])*(20%+Tabela1[[#This Row],[Imposto (Nfe)]]))-5-Tabela1[[#This Row],[Preço Custo]])</f>
        <v/>
      </c>
      <c r="P10" s="248">
        <f>IF(Tabela1[[#This Row],[Imposto (Nfe)]]="","-",(Tabela1[[#This Row],[Preço Custo]]+5)/(1-(20% + Tabela1[[#This Row],[Imposto (Nfe)]])-35%))</f>
        <v/>
      </c>
      <c r="Q10" s="211">
        <f>IF(Tabela1[[#This Row],[Imposto (Nfe)]]="","-",(Tabela1[[#This Row],[Preço Custo]]+5)/(1-(20% + Tabela1[[#This Row],[Imposto (Nfe)]])-30%))</f>
        <v/>
      </c>
      <c r="R10" s="210">
        <f>IF(Tabela1[[#This Row],[Imposto (Nfe)]]="","-",(Tabela1[[#This Row],[Preço Custo]]+5)/(1-(20% + Tabela1[[#This Row],[Imposto (Nfe)]])-23%))</f>
        <v/>
      </c>
      <c r="S10" s="210">
        <f>IF(Tabela1[[#This Row],[Imposto (Nfe)]]="","-",(Tabela1[[#This Row],[Preço Custo]]+5)/(1-(20% + Tabela1[[#This Row],[Imposto (Nfe)]])-17%))</f>
        <v/>
      </c>
      <c r="T10" s="248">
        <f>IF(Tabela1[[#This Row],[Imposto (Nfe)]]="","-",(Tabela1[[#This Row],[Preço Custo]]+5)/(1-(20% + Tabela1[[#This Row],[Imposto (Nfe)]])-10%))</f>
        <v/>
      </c>
      <c r="U10" s="211">
        <f>IF(Tabela1[[#This Row],[Imposto (Nfe)]]="","-",(Tabela1[[#This Row],[Preço Custo]]+5)/(1-(20% + Tabela1[[#This Row],[Imposto (Nfe)]])-0%))</f>
        <v/>
      </c>
    </row>
    <row r="11" ht="22" customHeight="1">
      <c r="A11" s="242">
        <f>IF(Tabela1[[#This Row],[Prefixo]]="","",VLOOKUP(Tabela1[[#This Row],[Prefixo]],Auxiliar[],2,FALSE))</f>
        <v/>
      </c>
      <c r="B11" s="242">
        <f>IF(Tabela1[[#This Row],[SKU]] =  "", "",IFERROR(LEFT(Tabela1[[#This Row],[SKU]],FIND(".",Tabela1[[#This Row],[SKU]])-1),Tabela1[[#This Row],[SKU]]))</f>
        <v/>
      </c>
      <c r="C11" s="196" t="n"/>
      <c r="D11" s="196" t="n"/>
      <c r="E11" s="243" t="n"/>
      <c r="F11" s="244" t="n"/>
      <c r="G11" s="244">
        <f>Tabela1[[#This Row],[Preço Cadastro DE]]-(Tabela1[[#This Row],[Preço Cadastro DE]]*5%)</f>
        <v/>
      </c>
      <c r="H11" s="201" t="n"/>
      <c r="I11" s="245">
        <f>IFERROR(IF(F11="","",IF(OR(H11="",H11=0),IF(G11="","",G11),ROUND(F11*(1-H11),2))),"")</f>
        <v/>
      </c>
      <c r="J11" s="227" t="n"/>
      <c r="K11" s="246" t="n"/>
      <c r="L11" s="206">
        <f>IFERROR(IF(OR(Tabela1[[#This Row],[Estratégia de preço]]="",Tabela1[[#This Row],[Estratégia de preço]]="Selecionar Estratégia",Tabela1[[#This Row],[PARA]]="",Tabela1[[#This Row],[Preço Alvo]]=""),"",MAX(0,(Tabela1[[#This Row],[PARA]]-Tabela1[[#This Row],[Preço Alvo]])/Tabela1[[#This Row],[PARA]])),"")</f>
        <v/>
      </c>
      <c r="M11" s="205">
        <f>IFERROR(IF(OR(Tabela1[[#This Row],[Estratégia de preço]]="",Tabela1[[#This Row],[Estratégia de preço]]="Selecionar Estratégia"),"",IF(Tabela1[[#This Row],[Estratégia de preço]]=35%,Tabela1[[#This Row],[35% de contribuição]],IF(Tabela1[[#This Row],[Estratégia de preço]]=30%,Tabela1[[#This Row],[30% de contribuição]],IF(Tabela1[[#This Row],[Estratégia de preço]]=23%,Tabela1[[#This Row],[23% de contribuição]],IF(Tabela1[[#This Row],[Estratégia de preço]]=17%,Tabela1[[#This Row],[17% de contribuição]],IF(Tabela1[[#This Row],[Estratégia de preço]]=10%,Tabela1[[#This Row],[10% de contribuição]],IF(Tabela1[[#This Row],[Estratégia de preço]]=0%,Tabela1[[#This Row],[0% de contribuição]],""))))))),"")</f>
        <v/>
      </c>
      <c r="N11" s="208">
        <f>IF(Tabela1[[#This Row],[Cupom(%)]]="",
IFERROR((Tabela1[[#This Row],[PARA]]*0.72-5-Tabela1[[#This Row],[Preço Custo]])/Tabela1[[#This Row],[PARA]],""),
IFERROR(((Tabela1[[#This Row],[PARA]]*(1-Tabela1[[#This Row],[Cupom(%)]]))*0.72-5-Tabela1[[#This Row],[Preço Custo]])/(Tabela1[[#This Row],[PARA]]*(1-Tabela1[[#This Row],[Cupom(%)]])),""))</f>
        <v/>
      </c>
      <c r="O11" s="247">
        <f>IF(OR(Tabela1[[#This Row],[Imposto (Nfe)]]="",IF(Tabela1[[#This Row],[Preço Alvo]]="",Tabela1[[#This Row],[PARA]],Tabela1[[#This Row],[Preço Alvo]])=""),"-",IF(Tabela1[[#This Row],[Preço Alvo]]="",Tabela1[[#This Row],[PARA]],Tabela1[[#This Row],[Preço Alvo]])-(IF(Tabela1[[#This Row],[Preço Alvo]]="",Tabela1[[#This Row],[PARA]],Tabela1[[#This Row],[Preço Alvo]])*(20%+Tabela1[[#This Row],[Imposto (Nfe)]]))-5-Tabela1[[#This Row],[Preço Custo]])</f>
        <v/>
      </c>
      <c r="P11" s="248">
        <f>IF(Tabela1[[#This Row],[Imposto (Nfe)]]="","-",(Tabela1[[#This Row],[Preço Custo]]+5)/(1-(20% + Tabela1[[#This Row],[Imposto (Nfe)]])-35%))</f>
        <v/>
      </c>
      <c r="Q11" s="211">
        <f>IF(Tabela1[[#This Row],[Imposto (Nfe)]]="","-",(Tabela1[[#This Row],[Preço Custo]]+5)/(1-(20% + Tabela1[[#This Row],[Imposto (Nfe)]])-30%))</f>
        <v/>
      </c>
      <c r="R11" s="211">
        <f>IF(Tabela1[[#This Row],[Imposto (Nfe)]]="","-",(Tabela1[[#This Row],[Preço Custo]]+5)/(1-(20% + Tabela1[[#This Row],[Imposto (Nfe)]])-23%))</f>
        <v/>
      </c>
      <c r="S11" s="211">
        <f>IF(Tabela1[[#This Row],[Imposto (Nfe)]]="","-",(Tabela1[[#This Row],[Preço Custo]]+5)/(1-(20% + Tabela1[[#This Row],[Imposto (Nfe)]])-17%))</f>
        <v/>
      </c>
      <c r="T11" s="211">
        <f>IF(Tabela1[[#This Row],[Imposto (Nfe)]]="","-",(Tabela1[[#This Row],[Preço Custo]]+5)/(1-(20% + Tabela1[[#This Row],[Imposto (Nfe)]])-10%))</f>
        <v/>
      </c>
      <c r="U11" s="211">
        <f>IF(Tabela1[[#This Row],[Imposto (Nfe)]]="","-",(Tabela1[[#This Row],[Preço Custo]]+5)/(1-(20% + Tabela1[[#This Row],[Imposto (Nfe)]])-0%))</f>
        <v/>
      </c>
    </row>
    <row r="12">
      <c r="H12" s="201" t="n"/>
      <c r="I12" s="245">
        <f>IFERROR(IF(F12="","",IF(OR(H12="",H12=0),IF(G12="","",G12),ROUND(F12*(1-H12),2))),"")</f>
        <v/>
      </c>
    </row>
    <row r="13">
      <c r="H13" s="201" t="n"/>
      <c r="I13" s="245">
        <f>IFERROR(IF(F13="","",IF(OR(H13="",H13=0),IF(G13="","",G13),ROUND(F13*(1-H13),2))),"")</f>
        <v/>
      </c>
    </row>
    <row r="14">
      <c r="H14" s="201" t="n"/>
      <c r="I14" s="245">
        <f>IFERROR(IF(F14="","",IF(OR(H14="",H14=0),IF(G14="","",G14),ROUND(F14*(1-H14),2))),"")</f>
        <v/>
      </c>
      <c r="J14" s="13" t="inlineStr"/>
    </row>
    <row r="15">
      <c r="H15" s="201" t="n"/>
      <c r="I15" s="245">
        <f>IFERROR(IF(F15="","",IF(OR(H15="",H15=0),IF(G15="","",G15),ROUND(F15*(1-H15),2))),"")</f>
        <v/>
      </c>
    </row>
    <row r="16">
      <c r="H16" s="201" t="n"/>
      <c r="I16" s="245">
        <f>IFERROR(IF(F16="","",IF(OR(H16="",H16=0),IF(G16="","",G16),ROUND(F16*(1-H16),2))),"")</f>
        <v/>
      </c>
    </row>
    <row r="17">
      <c r="H17" s="201" t="n"/>
      <c r="I17" s="245">
        <f>IFERROR(IF(F17="","",IF(OR(H17="",H17=0),IF(G17="","",G17),ROUND(F17*(1-H17),2))),"")</f>
        <v/>
      </c>
    </row>
    <row r="18">
      <c r="H18" s="201" t="n"/>
      <c r="I18" s="245">
        <f>IFERROR(IF(F18="","",IF(OR(H18="",H18=0),IF(G18="","",G18),ROUND(F18*(1-H18),2))),"")</f>
        <v/>
      </c>
    </row>
    <row r="19">
      <c r="H19" s="201" t="n"/>
      <c r="I19" s="245">
        <f>IFERROR(IF(F19="","",IF(OR(H19="",H19=0),IF(G19="","",G19),ROUND(F19*(1-H19),2))),"")</f>
        <v/>
      </c>
    </row>
    <row r="20">
      <c r="H20" s="201" t="n"/>
      <c r="I20" s="245">
        <f>IFERROR(IF(F20="","",IF(OR(H20="",H20=0),IF(G20="","",G20),ROUND(F20*(1-H20),2))),"")</f>
        <v/>
      </c>
    </row>
    <row r="21">
      <c r="H21" s="201" t="n"/>
      <c r="I21" s="245">
        <f>IFERROR(IF(F21="","",IF(OR(H21="",H21=0),IF(G21="","",G21),ROUND(F21*(1-H21),2))),"")</f>
        <v/>
      </c>
    </row>
    <row r="22">
      <c r="H22" s="201" t="n"/>
      <c r="I22" s="245">
        <f>IFERROR(IF(F22="","",IF(OR(H22="",H22=0),IF(G22="","",G22),ROUND(F22*(1-H22),2))),"")</f>
        <v/>
      </c>
    </row>
    <row r="23">
      <c r="H23" s="201" t="n"/>
      <c r="I23" s="245">
        <f>IFERROR(IF(F23="","",IF(OR(H23="",H23=0),IF(G23="","",G23),ROUND(F23*(1-H23),2))),"")</f>
        <v/>
      </c>
    </row>
    <row r="24">
      <c r="H24" s="201" t="n"/>
      <c r="I24" s="245">
        <f>IFERROR(IF(F24="","",IF(OR(H24="",H24=0),IF(G24="","",G24),ROUND(F24*(1-H24),2))),"")</f>
        <v/>
      </c>
    </row>
    <row r="25">
      <c r="H25" s="201" t="n"/>
      <c r="I25" s="245">
        <f>IFERROR(IF(F25="","",IF(OR(H25="",H25=0),IF(G25="","",G25),ROUND(F25*(1-H25),2))),"")</f>
        <v/>
      </c>
    </row>
    <row r="26">
      <c r="H26" s="201" t="n"/>
      <c r="I26" s="245">
        <f>IFERROR(IF(F26="","",IF(OR(H26="",H26=0),IF(G26="","",G26),ROUND(F26*(1-H26),2))),"")</f>
        <v/>
      </c>
    </row>
    <row r="27">
      <c r="H27" s="201" t="n"/>
      <c r="I27" s="245">
        <f>IFERROR(IF(F27="","",IF(OR(H27="",H27=0),IF(G27="","",G27),ROUND(F27*(1-H27),2))),"")</f>
        <v/>
      </c>
    </row>
    <row r="28">
      <c r="H28" s="201" t="n"/>
      <c r="I28" s="245">
        <f>IFERROR(IF(F28="","",IF(OR(H28="",H28=0),IF(G28="","",G28),ROUND(F28*(1-H28),2))),"")</f>
        <v/>
      </c>
    </row>
    <row r="29">
      <c r="H29" s="201" t="n"/>
      <c r="I29" s="245">
        <f>IFERROR(IF(F29="","",IF(OR(H29="",H29=0),IF(G29="","",G29),ROUND(F29*(1-H29),2))),"")</f>
        <v/>
      </c>
    </row>
    <row r="30">
      <c r="H30" s="201" t="n"/>
      <c r="I30" s="245">
        <f>IFERROR(IF(F30="","",IF(OR(H30="",H30=0),IF(G30="","",G30),ROUND(F30*(1-H30),2))),"")</f>
        <v/>
      </c>
    </row>
    <row r="31">
      <c r="H31" s="201" t="n"/>
      <c r="I31" s="245">
        <f>IFERROR(IF(F31="","",IF(OR(H31="",H31=0),IF(G31="","",G31),ROUND(F31*(1-H31),2))),"")</f>
        <v/>
      </c>
    </row>
    <row r="32">
      <c r="H32" s="201" t="n"/>
      <c r="I32" s="245">
        <f>IFERROR(IF(F32="","",IF(OR(H32="",H32=0),IF(G32="","",G32),ROUND(F32*(1-H32),2))),"")</f>
        <v/>
      </c>
    </row>
    <row r="33">
      <c r="H33" s="201" t="n"/>
      <c r="I33" s="245">
        <f>IFERROR(IF(F33="","",IF(OR(H33="",H33=0),IF(G33="","",G33),ROUND(F33*(1-H33),2))),"")</f>
        <v/>
      </c>
    </row>
    <row r="34">
      <c r="H34" s="201" t="n"/>
      <c r="I34" s="245">
        <f>IFERROR(IF(F34="","",IF(OR(H34="",H34=0),IF(G34="","",G34),ROUND(F34*(1-H34),2))),"")</f>
        <v/>
      </c>
    </row>
    <row r="35">
      <c r="H35" s="201" t="n"/>
      <c r="I35" s="245">
        <f>IFERROR(IF(F35="","",IF(OR(H35="",H35=0),IF(G35="","",G35),ROUND(F35*(1-H35),2))),"")</f>
        <v/>
      </c>
    </row>
    <row r="36">
      <c r="H36" s="201" t="n"/>
      <c r="I36" s="245">
        <f>IFERROR(IF(F36="","",IF(OR(H36="",H36=0),IF(G36="","",G36),ROUND(F36*(1-H36),2))),"")</f>
        <v/>
      </c>
    </row>
    <row r="37">
      <c r="H37" s="201" t="n"/>
      <c r="I37" s="245">
        <f>IFERROR(IF(F37="","",IF(OR(H37="",H37=0),IF(G37="","",G37),ROUND(F37*(1-H37),2))),"")</f>
        <v/>
      </c>
    </row>
    <row r="38">
      <c r="H38" s="201" t="n"/>
      <c r="I38" s="245">
        <f>IFERROR(IF(F38="","",IF(OR(H38="",H38=0),IF(G38="","",G38),ROUND(F38*(1-H38),2))),"")</f>
        <v/>
      </c>
    </row>
    <row r="39">
      <c r="H39" s="201" t="n"/>
      <c r="I39" s="245">
        <f>IFERROR(IF(F39="","",IF(OR(H39="",H39=0),IF(G39="","",G39),ROUND(F39*(1-H39),2))),"")</f>
        <v/>
      </c>
    </row>
    <row r="40">
      <c r="H40" s="201" t="n"/>
      <c r="I40" s="245">
        <f>IFERROR(IF(F40="","",IF(OR(H40="",H40=0),IF(G40="","",G40),ROUND(F40*(1-H40),2))),"")</f>
        <v/>
      </c>
    </row>
    <row r="41">
      <c r="H41" s="201" t="n"/>
      <c r="I41" s="245">
        <f>IFERROR(IF(F41="","",IF(OR(H41="",H41=0),IF(G41="","",G41),ROUND(F41*(1-H41),2))),"")</f>
        <v/>
      </c>
    </row>
    <row r="42">
      <c r="H42" s="201" t="n"/>
      <c r="I42" s="245">
        <f>IFERROR(IF(F42="","",IF(OR(H42="",H42=0),IF(G42="","",G42),ROUND(F42*(1-H42),2))),"")</f>
        <v/>
      </c>
    </row>
    <row r="43">
      <c r="H43" s="201" t="n"/>
      <c r="I43" s="245">
        <f>IFERROR(IF(F43="","",IF(OR(H43="",H43=0),IF(G43="","",G43),ROUND(F43*(1-H43),2))),"")</f>
        <v/>
      </c>
    </row>
    <row r="44">
      <c r="H44" s="201" t="n"/>
      <c r="I44" s="245">
        <f>IFERROR(IF(F44="","",IF(OR(H44="",H44=0),IF(G44="","",G44),ROUND(F44*(1-H44),2))),"")</f>
        <v/>
      </c>
    </row>
    <row r="45">
      <c r="H45" s="201" t="n"/>
      <c r="I45" s="245">
        <f>IFERROR(IF(F45="","",IF(OR(H45="",H45=0),IF(G45="","",G45),ROUND(F45*(1-H45),2))),"")</f>
        <v/>
      </c>
    </row>
    <row r="46">
      <c r="H46" s="201" t="n"/>
      <c r="I46" s="245">
        <f>IFERROR(IF(F46="","",IF(OR(H46="",H46=0),IF(G46="","",G46),ROUND(F46*(1-H46),2))),"")</f>
        <v/>
      </c>
    </row>
    <row r="47">
      <c r="H47" s="201" t="n"/>
      <c r="I47" s="245">
        <f>IFERROR(IF(F47="","",IF(OR(H47="",H47=0),IF(G47="","",G47),ROUND(F47*(1-H47),2))),"")</f>
        <v/>
      </c>
    </row>
    <row r="48">
      <c r="H48" s="201" t="n"/>
      <c r="I48" s="245">
        <f>IFERROR(IF(F48="","",IF(OR(H48="",H48=0),IF(G48="","",G48),ROUND(F48*(1-H48),2))),"")</f>
        <v/>
      </c>
    </row>
    <row r="49">
      <c r="H49" s="201" t="n"/>
      <c r="I49" s="245">
        <f>IFERROR(IF(F49="","",IF(OR(H49="",H49=0),IF(G49="","",G49),ROUND(F49*(1-H49),2))),"")</f>
        <v/>
      </c>
    </row>
    <row r="50">
      <c r="H50" s="201" t="n"/>
      <c r="I50" s="245">
        <f>IFERROR(IF(F50="","",IF(OR(H50="",H50=0),IF(G50="","",G50),ROUND(F50*(1-H50),2))),"")</f>
        <v/>
      </c>
    </row>
    <row r="51">
      <c r="H51" s="201" t="n"/>
      <c r="I51" s="245">
        <f>IFERROR(IF(F51="","",IF(OR(H51="",H51=0),IF(G51="","",G51),ROUND(F51*(1-H51),2))),"")</f>
        <v/>
      </c>
    </row>
    <row r="52">
      <c r="H52" s="201" t="n"/>
      <c r="I52" s="245">
        <f>IFERROR(IF(F52="","",IF(OR(H52="",H52=0),IF(G52="","",G52),ROUND(F52*(1-H52),2))),"")</f>
        <v/>
      </c>
    </row>
    <row r="53">
      <c r="H53" s="201" t="n"/>
      <c r="I53" s="245">
        <f>IFERROR(IF(F53="","",IF(OR(H53="",H53=0),IF(G53="","",G53),ROUND(F53*(1-H53),2))),"")</f>
        <v/>
      </c>
    </row>
    <row r="54">
      <c r="H54" s="201" t="n"/>
      <c r="I54" s="245">
        <f>IFERROR(IF(F54="","",IF(OR(H54="",H54=0),IF(G54="","",G54),ROUND(F54*(1-H54),2))),"")</f>
        <v/>
      </c>
    </row>
    <row r="55">
      <c r="H55" s="201" t="n"/>
      <c r="I55" s="245">
        <f>IFERROR(IF(F55="","",IF(OR(H55="",H55=0),IF(G55="","",G55),ROUND(F55*(1-H55),2))),"")</f>
        <v/>
      </c>
    </row>
    <row r="56">
      <c r="H56" s="201" t="n"/>
      <c r="I56" s="245">
        <f>IFERROR(IF(F56="","",IF(OR(H56="",H56=0),IF(G56="","",G56),ROUND(F56*(1-H56),2))),"")</f>
        <v/>
      </c>
    </row>
    <row r="57">
      <c r="H57" s="201" t="n"/>
      <c r="I57" s="245">
        <f>IFERROR(IF(F57="","",IF(OR(H57="",H57=0),IF(G57="","",G57),ROUND(F57*(1-H57),2))),"")</f>
        <v/>
      </c>
    </row>
    <row r="58">
      <c r="H58" s="201" t="n"/>
      <c r="I58" s="245">
        <f>IFERROR(IF(F58="","",IF(OR(H58="",H58=0),IF(G58="","",G58),ROUND(F58*(1-H58),2))),"")</f>
        <v/>
      </c>
    </row>
    <row r="59">
      <c r="H59" s="201" t="n"/>
      <c r="I59" s="245">
        <f>IFERROR(IF(F59="","",IF(OR(H59="",H59=0),IF(G59="","",G59),ROUND(F59*(1-H59),2))),"")</f>
        <v/>
      </c>
    </row>
    <row r="60">
      <c r="H60" s="201" t="n"/>
      <c r="I60" s="245">
        <f>IFERROR(IF(F60="","",IF(OR(H60="",H60=0),IF(G60="","",G60),ROUND(F60*(1-H60),2))),"")</f>
        <v/>
      </c>
    </row>
    <row r="61">
      <c r="H61" s="201" t="n"/>
      <c r="I61" s="245">
        <f>IFERROR(IF(F61="","",IF(OR(H61="",H61=0),IF(G61="","",G61),ROUND(F61*(1-H61),2))),"")</f>
        <v/>
      </c>
    </row>
    <row r="62">
      <c r="H62" s="201" t="n"/>
      <c r="I62" s="245">
        <f>IFERROR(IF(F62="","",IF(OR(H62="",H62=0),IF(G62="","",G62),ROUND(F62*(1-H62),2))),"")</f>
        <v/>
      </c>
    </row>
    <row r="63">
      <c r="H63" s="201" t="n"/>
      <c r="I63" s="245">
        <f>IFERROR(IF(F63="","",IF(OR(H63="",H63=0),IF(G63="","",G63),ROUND(F63*(1-H63),2))),"")</f>
        <v/>
      </c>
    </row>
    <row r="64">
      <c r="H64" s="201" t="n"/>
      <c r="I64" s="245">
        <f>IFERROR(IF(F64="","",IF(OR(H64="",H64=0),IF(G64="","",G64),ROUND(F64*(1-H64),2))),"")</f>
        <v/>
      </c>
    </row>
    <row r="65">
      <c r="H65" s="201" t="n"/>
      <c r="I65" s="245">
        <f>IFERROR(IF(F65="","",IF(OR(H65="",H65=0),IF(G65="","",G65),ROUND(F65*(1-H65),2))),"")</f>
        <v/>
      </c>
    </row>
    <row r="66">
      <c r="H66" s="201" t="n"/>
      <c r="I66" s="245">
        <f>IFERROR(IF(F66="","",IF(OR(H66="",H66=0),IF(G66="","",G66),ROUND(F66*(1-H66),2))),"")</f>
        <v/>
      </c>
    </row>
    <row r="67">
      <c r="H67" s="201" t="n"/>
      <c r="I67" s="245">
        <f>IFERROR(IF(F67="","",IF(OR(H67="",H67=0),IF(G67="","",G67),ROUND(F67*(1-H67),2))),"")</f>
        <v/>
      </c>
    </row>
    <row r="68">
      <c r="H68" s="201" t="n"/>
      <c r="I68" s="245">
        <f>IFERROR(IF(F68="","",IF(OR(H68="",H68=0),IF(G68="","",G68),ROUND(F68*(1-H68),2))),"")</f>
        <v/>
      </c>
    </row>
    <row r="69">
      <c r="H69" s="201" t="n"/>
      <c r="I69" s="245">
        <f>IFERROR(IF(F69="","",IF(OR(H69="",H69=0),IF(G69="","",G69),ROUND(F69*(1-H69),2))),"")</f>
        <v/>
      </c>
    </row>
    <row r="70">
      <c r="H70" s="201" t="n"/>
      <c r="I70" s="245">
        <f>IFERROR(IF(F70="","",IF(OR(H70="",H70=0),IF(G70="","",G70),ROUND(F70*(1-H70),2))),"")</f>
        <v/>
      </c>
    </row>
    <row r="71">
      <c r="H71" s="201" t="n"/>
      <c r="I71" s="245">
        <f>IFERROR(IF(F71="","",IF(OR(H71="",H71=0),IF(G71="","",G71),ROUND(F71*(1-H71),2))),"")</f>
        <v/>
      </c>
    </row>
    <row r="72">
      <c r="H72" s="201" t="n"/>
      <c r="I72" s="245">
        <f>IFERROR(IF(F72="","",IF(OR(H72="",H72=0),IF(G72="","",G72),ROUND(F72*(1-H72),2))),"")</f>
        <v/>
      </c>
    </row>
    <row r="73">
      <c r="H73" s="201" t="n"/>
      <c r="I73" s="245">
        <f>IFERROR(IF(F73="","",IF(OR(H73="",H73=0),IF(G73="","",G73),ROUND(F73*(1-H73),2))),"")</f>
        <v/>
      </c>
    </row>
    <row r="74">
      <c r="H74" s="201" t="n"/>
      <c r="I74" s="245">
        <f>IFERROR(IF(F74="","",IF(OR(H74="",H74=0),IF(G74="","",G74),ROUND(F74*(1-H74),2))),"")</f>
        <v/>
      </c>
    </row>
    <row r="75">
      <c r="H75" s="201" t="n"/>
      <c r="I75" s="245">
        <f>IFERROR(IF(F75="","",IF(OR(H75="",H75=0),IF(G75="","",G75),ROUND(F75*(1-H75),2))),"")</f>
        <v/>
      </c>
    </row>
    <row r="76">
      <c r="H76" s="201" t="n"/>
      <c r="I76" s="245">
        <f>IFERROR(IF(F76="","",IF(OR(H76="",H76=0),IF(G76="","",G76),ROUND(F76*(1-H76),2))),"")</f>
        <v/>
      </c>
    </row>
    <row r="77">
      <c r="H77" s="201" t="n"/>
      <c r="I77" s="245">
        <f>IFERROR(IF(F77="","",IF(OR(H77="",H77=0),IF(G77="","",G77),ROUND(F77*(1-H77),2))),"")</f>
        <v/>
      </c>
    </row>
    <row r="78">
      <c r="H78" s="201" t="n"/>
      <c r="I78" s="245">
        <f>IFERROR(IF(F78="","",IF(OR(H78="",H78=0),IF(G78="","",G78),ROUND(F78*(1-H78),2))),"")</f>
        <v/>
      </c>
    </row>
    <row r="79">
      <c r="H79" s="201" t="n"/>
      <c r="I79" s="245">
        <f>IFERROR(IF(F79="","",IF(OR(H79="",H79=0),IF(G79="","",G79),ROUND(F79*(1-H79),2))),"")</f>
        <v/>
      </c>
    </row>
    <row r="80">
      <c r="H80" s="201" t="n"/>
      <c r="I80" s="245">
        <f>IFERROR(IF(F80="","",IF(OR(H80="",H80=0),IF(G80="","",G80),ROUND(F80*(1-H80),2))),"")</f>
        <v/>
      </c>
    </row>
    <row r="81">
      <c r="H81" s="201" t="n"/>
      <c r="I81" s="245">
        <f>IFERROR(IF(F81="","",IF(OR(H81="",H81=0),IF(G81="","",G81),ROUND(F81*(1-H81),2))),"")</f>
        <v/>
      </c>
    </row>
    <row r="82">
      <c r="H82" s="201" t="n"/>
      <c r="I82" s="245">
        <f>IFERROR(IF(F82="","",IF(OR(H82="",H82=0),IF(G82="","",G82),ROUND(F82*(1-H82),2))),"")</f>
        <v/>
      </c>
    </row>
    <row r="83">
      <c r="H83" s="201" t="n"/>
      <c r="I83" s="245">
        <f>IFERROR(IF(F83="","",IF(OR(H83="",H83=0),IF(G83="","",G83),ROUND(F83*(1-H83),2))),"")</f>
        <v/>
      </c>
    </row>
    <row r="84">
      <c r="H84" s="201" t="n"/>
      <c r="I84" s="245">
        <f>IFERROR(IF(F84="","",IF(OR(H84="",H84=0),IF(G84="","",G84),ROUND(F84*(1-H84),2))),"")</f>
        <v/>
      </c>
    </row>
    <row r="85">
      <c r="H85" s="201" t="n"/>
      <c r="I85" s="245">
        <f>IFERROR(IF(F85="","",IF(OR(H85="",H85=0),IF(G85="","",G85),ROUND(F85*(1-H85),2))),"")</f>
        <v/>
      </c>
    </row>
    <row r="86">
      <c r="H86" s="201" t="n"/>
      <c r="I86" s="245">
        <f>IFERROR(IF(F86="","",IF(OR(H86="",H86=0),IF(G86="","",G86),ROUND(F86*(1-H86),2))),"")</f>
        <v/>
      </c>
    </row>
    <row r="87">
      <c r="H87" s="201" t="n"/>
      <c r="I87" s="245">
        <f>IFERROR(IF(F87="","",IF(OR(H87="",H87=0),IF(G87="","",G87),ROUND(F87*(1-H87),2))),"")</f>
        <v/>
      </c>
    </row>
    <row r="88">
      <c r="H88" s="201" t="n"/>
      <c r="I88" s="245">
        <f>IFERROR(IF(F88="","",IF(OR(H88="",H88=0),IF(G88="","",G88),ROUND(F88*(1-H88),2))),"")</f>
        <v/>
      </c>
    </row>
    <row r="89">
      <c r="H89" s="201" t="n"/>
      <c r="I89" s="245">
        <f>IFERROR(IF(F89="","",IF(OR(H89="",H89=0),IF(G89="","",G89),ROUND(F89*(1-H89),2))),"")</f>
        <v/>
      </c>
    </row>
    <row r="90">
      <c r="H90" s="201" t="n"/>
      <c r="I90" s="245">
        <f>IFERROR(IF(F90="","",IF(OR(H90="",H90=0),IF(G90="","",G90),ROUND(F90*(1-H90),2))),"")</f>
        <v/>
      </c>
    </row>
    <row r="91">
      <c r="H91" s="201" t="n"/>
      <c r="I91" s="245">
        <f>IFERROR(IF(F91="","",IF(OR(H91="",H91=0),IF(G91="","",G91),ROUND(F91*(1-H91),2))),"")</f>
        <v/>
      </c>
    </row>
    <row r="92">
      <c r="H92" s="201" t="n"/>
      <c r="I92" s="245">
        <f>IFERROR(IF(F92="","",IF(OR(H92="",H92=0),IF(G92="","",G92),ROUND(F92*(1-H92),2))),"")</f>
        <v/>
      </c>
    </row>
    <row r="93">
      <c r="H93" s="201" t="n"/>
      <c r="I93" s="245">
        <f>IFERROR(IF(F93="","",IF(OR(H93="",H93=0),IF(G93="","",G93),ROUND(F93*(1-H93),2))),"")</f>
        <v/>
      </c>
    </row>
    <row r="94">
      <c r="H94" s="201" t="n"/>
      <c r="I94" s="245">
        <f>IFERROR(IF(F94="","",IF(OR(H94="",H94=0),IF(G94="","",G94),ROUND(F94*(1-H94),2))),"")</f>
        <v/>
      </c>
    </row>
    <row r="95">
      <c r="H95" s="201" t="n"/>
      <c r="I95" s="245">
        <f>IFERROR(IF(F95="","",IF(OR(H95="",H95=0),IF(G95="","",G95),ROUND(F95*(1-H95),2))),"")</f>
        <v/>
      </c>
    </row>
    <row r="96">
      <c r="H96" s="201" t="n"/>
      <c r="I96" s="245">
        <f>IFERROR(IF(F96="","",IF(OR(H96="",H96=0),IF(G96="","",G96),ROUND(F96*(1-H96),2))),"")</f>
        <v/>
      </c>
    </row>
    <row r="97">
      <c r="H97" s="201" t="n"/>
      <c r="I97" s="245">
        <f>IFERROR(IF(F97="","",IF(OR(H97="",H97=0),IF(G97="","",G97),ROUND(F97*(1-H97),2))),"")</f>
        <v/>
      </c>
    </row>
    <row r="98">
      <c r="H98" s="201" t="n"/>
      <c r="I98" s="245">
        <f>IFERROR(IF(F98="","",IF(OR(H98="",H98=0),IF(G98="","",G98),ROUND(F98*(1-H98),2))),"")</f>
        <v/>
      </c>
    </row>
    <row r="99">
      <c r="H99" s="201" t="n"/>
      <c r="I99" s="245">
        <f>IFERROR(IF(F99="","",IF(OR(H99="",H99=0),IF(G99="","",G99),ROUND(F99*(1-H99),2))),"")</f>
        <v/>
      </c>
    </row>
    <row r="100">
      <c r="H100" s="201" t="n"/>
      <c r="I100" s="245">
        <f>IFERROR(IF(F100="","",IF(OR(H100="",H100=0),IF(G100="","",G100),ROUND(F100*(1-H100),2))),"")</f>
        <v/>
      </c>
    </row>
    <row r="101">
      <c r="H101" s="201" t="n"/>
      <c r="I101" s="245">
        <f>IFERROR(IF(F101="","",IF(OR(H101="",H101=0),IF(G101="","",G101),ROUND(F101*(1-H101),2))),"")</f>
        <v/>
      </c>
    </row>
    <row r="102">
      <c r="H102" s="201" t="n"/>
      <c r="I102" s="245">
        <f>IFERROR(IF(F102="","",IF(OR(H102="",H102=0),IF(G102="","",G102),ROUND(F102*(1-H102),2))),"")</f>
        <v/>
      </c>
    </row>
    <row r="103">
      <c r="H103" s="201" t="n"/>
      <c r="I103" s="245">
        <f>IFERROR(IF(F103="","",IF(OR(H103="",H103=0),IF(G103="","",G103),ROUND(F103*(1-H103),2))),"")</f>
        <v/>
      </c>
    </row>
    <row r="104">
      <c r="H104" s="201" t="n"/>
      <c r="I104" s="245">
        <f>IFERROR(IF(F104="","",IF(OR(H104="",H104=0),IF(G104="","",G104),ROUND(F104*(1-H104),2))),"")</f>
        <v/>
      </c>
    </row>
    <row r="105">
      <c r="H105" s="201" t="n"/>
      <c r="I105" s="245">
        <f>IFERROR(IF(F105="","",IF(OR(H105="",H105=0),IF(G105="","",G105),ROUND(F105*(1-H105),2))),"")</f>
        <v/>
      </c>
    </row>
    <row r="106">
      <c r="H106" s="201" t="n"/>
      <c r="I106" s="245">
        <f>IFERROR(IF(F106="","",IF(OR(H106="",H106=0),IF(G106="","",G106),ROUND(F106*(1-H106),2))),"")</f>
        <v/>
      </c>
    </row>
    <row r="107">
      <c r="H107" s="201" t="n"/>
      <c r="I107" s="245">
        <f>IFERROR(IF(F107="","",IF(OR(H107="",H107=0),IF(G107="","",G107),ROUND(F107*(1-H107),2))),"")</f>
        <v/>
      </c>
    </row>
    <row r="108">
      <c r="H108" s="201" t="n"/>
      <c r="I108" s="245">
        <f>IFERROR(IF(F108="","",IF(OR(H108="",H108=0),IF(G108="","",G108),ROUND(F108*(1-H108),2))),"")</f>
        <v/>
      </c>
    </row>
    <row r="109">
      <c r="H109" s="201" t="n"/>
      <c r="I109" s="245">
        <f>IFERROR(IF(F109="","",IF(OR(H109="",H109=0),IF(G109="","",G109),ROUND(F109*(1-H109),2))),"")</f>
        <v/>
      </c>
    </row>
    <row r="110">
      <c r="H110" s="201" t="n"/>
      <c r="I110" s="245">
        <f>IFERROR(IF(F110="","",IF(OR(H110="",H110=0),IF(G110="","",G110),ROUND(F110*(1-H110),2))),"")</f>
        <v/>
      </c>
    </row>
    <row r="111">
      <c r="H111" s="201" t="n"/>
      <c r="I111" s="245">
        <f>IFERROR(IF(F111="","",IF(OR(H111="",H111=0),IF(G111="","",G111),ROUND(F111*(1-H111),2))),"")</f>
        <v/>
      </c>
    </row>
    <row r="112">
      <c r="H112" s="201" t="n"/>
      <c r="I112" s="245">
        <f>IFERROR(IF(F112="","",IF(OR(H112="",H112=0),IF(G112="","",G112),ROUND(F112*(1-H112),2))),"")</f>
        <v/>
      </c>
    </row>
    <row r="113">
      <c r="H113" s="201" t="n"/>
      <c r="I113" s="245">
        <f>IFERROR(IF(F113="","",IF(OR(H113="",H113=0),IF(G113="","",G113),ROUND(F113*(1-H113),2))),"")</f>
        <v/>
      </c>
    </row>
    <row r="114">
      <c r="H114" s="201" t="n"/>
      <c r="I114" s="245">
        <f>IFERROR(IF(F114="","",IF(OR(H114="",H114=0),IF(G114="","",G114),ROUND(F114*(1-H114),2))),"")</f>
        <v/>
      </c>
    </row>
    <row r="115">
      <c r="H115" s="201" t="n"/>
      <c r="I115" s="245">
        <f>IFERROR(IF(F115="","",IF(OR(H115="",H115=0),IF(G115="","",G115),ROUND(F115*(1-H115),2))),"")</f>
        <v/>
      </c>
    </row>
    <row r="116">
      <c r="H116" s="201" t="n"/>
      <c r="I116" s="245">
        <f>IFERROR(IF(F116="","",IF(OR(H116="",H116=0),IF(G116="","",G116),ROUND(F116*(1-H116),2))),"")</f>
        <v/>
      </c>
    </row>
    <row r="117">
      <c r="H117" s="201" t="n"/>
      <c r="I117" s="245">
        <f>IFERROR(IF(F117="","",IF(OR(H117="",H117=0),IF(G117="","",G117),ROUND(F117*(1-H117),2))),"")</f>
        <v/>
      </c>
    </row>
    <row r="118">
      <c r="H118" s="201" t="n"/>
      <c r="I118" s="245">
        <f>IFERROR(IF(F118="","",IF(OR(H118="",H118=0),IF(G118="","",G118),ROUND(F118*(1-H118),2))),"")</f>
        <v/>
      </c>
    </row>
    <row r="119">
      <c r="H119" s="201" t="n"/>
      <c r="I119" s="245">
        <f>IFERROR(IF(F119="","",IF(OR(H119="",H119=0),IF(G119="","",G119),ROUND(F119*(1-H119),2))),"")</f>
        <v/>
      </c>
    </row>
    <row r="120">
      <c r="H120" s="201" t="n"/>
      <c r="I120" s="245">
        <f>IFERROR(IF(F120="","",IF(OR(H120="",H120=0),IF(G120="","",G120),ROUND(F120*(1-H120),2))),"")</f>
        <v/>
      </c>
    </row>
    <row r="121">
      <c r="H121" s="201" t="n"/>
      <c r="I121" s="245">
        <f>IFERROR(IF(F121="","",IF(OR(H121="",H121=0),IF(G121="","",G121),ROUND(F121*(1-H121),2))),"")</f>
        <v/>
      </c>
    </row>
    <row r="122">
      <c r="H122" s="201" t="n"/>
      <c r="I122" s="245">
        <f>IFERROR(IF(F122="","",IF(OR(H122="",H122=0),IF(G122="","",G122),ROUND(F122*(1-H122),2))),"")</f>
        <v/>
      </c>
    </row>
    <row r="123">
      <c r="H123" s="201" t="n"/>
      <c r="I123" s="245">
        <f>IFERROR(IF(F123="","",IF(OR(H123="",H123=0),IF(G123="","",G123),ROUND(F123*(1-H123),2))),"")</f>
        <v/>
      </c>
    </row>
    <row r="124">
      <c r="H124" s="201" t="n"/>
      <c r="I124" s="245">
        <f>IFERROR(IF(F124="","",IF(OR(H124="",H124=0),IF(G124="","",G124),ROUND(F124*(1-H124),2))),"")</f>
        <v/>
      </c>
    </row>
    <row r="125">
      <c r="H125" s="201" t="n"/>
      <c r="I125" s="245">
        <f>IFERROR(IF(F125="","",IF(OR(H125="",H125=0),IF(G125="","",G125),ROUND(F125*(1-H125),2))),"")</f>
        <v/>
      </c>
    </row>
    <row r="126">
      <c r="H126" s="201" t="n"/>
      <c r="I126" s="245">
        <f>IFERROR(IF(F126="","",IF(OR(H126="",H126=0),IF(G126="","",G126),ROUND(F126*(1-H126),2))),"")</f>
        <v/>
      </c>
    </row>
    <row r="127">
      <c r="H127" s="201" t="n"/>
      <c r="I127" s="245">
        <f>IFERROR(IF(F127="","",IF(OR(H127="",H127=0),IF(G127="","",G127),ROUND(F127*(1-H127),2))),"")</f>
        <v/>
      </c>
    </row>
    <row r="128">
      <c r="H128" s="201" t="n"/>
      <c r="I128" s="245">
        <f>IFERROR(IF(F128="","",IF(OR(H128="",H128=0),IF(G128="","",G128),ROUND(F128*(1-H128),2))),"")</f>
        <v/>
      </c>
    </row>
    <row r="129">
      <c r="H129" s="201" t="n"/>
      <c r="I129" s="245">
        <f>IFERROR(IF(F129="","",IF(OR(H129="",H129=0),IF(G129="","",G129),ROUND(F129*(1-H129),2))),"")</f>
        <v/>
      </c>
    </row>
    <row r="130">
      <c r="H130" s="201" t="n"/>
      <c r="I130" s="245">
        <f>IFERROR(IF(F130="","",IF(OR(H130="",H130=0),IF(G130="","",G130),ROUND(F130*(1-H130),2))),"")</f>
        <v/>
      </c>
    </row>
    <row r="131">
      <c r="H131" s="201" t="n"/>
      <c r="I131" s="245">
        <f>IFERROR(IF(F131="","",IF(OR(H131="",H131=0),IF(G131="","",G131),ROUND(F131*(1-H131),2))),"")</f>
        <v/>
      </c>
    </row>
    <row r="132">
      <c r="H132" s="201" t="n"/>
      <c r="I132" s="245">
        <f>IFERROR(IF(F132="","",IF(OR(H132="",H132=0),IF(G132="","",G132),ROUND(F132*(1-H132),2))),"")</f>
        <v/>
      </c>
    </row>
    <row r="133">
      <c r="H133" s="201" t="n"/>
      <c r="I133" s="245">
        <f>IFERROR(IF(F133="","",IF(OR(H133="",H133=0),IF(G133="","",G133),ROUND(F133*(1-H133),2))),"")</f>
        <v/>
      </c>
    </row>
    <row r="134">
      <c r="H134" s="201" t="n"/>
      <c r="I134" s="245">
        <f>IFERROR(IF(F134="","",IF(OR(H134="",H134=0),IF(G134="","",G134),ROUND(F134*(1-H134),2))),"")</f>
        <v/>
      </c>
    </row>
    <row r="135">
      <c r="H135" s="201" t="n"/>
      <c r="I135" s="245">
        <f>IFERROR(IF(F135="","",IF(OR(H135="",H135=0),IF(G135="","",G135),ROUND(F135*(1-H135),2))),"")</f>
        <v/>
      </c>
    </row>
    <row r="136">
      <c r="H136" s="201" t="n"/>
      <c r="I136" s="245">
        <f>IFERROR(IF(F136="","",IF(OR(H136="",H136=0),IF(G136="","",G136),ROUND(F136*(1-H136),2))),"")</f>
        <v/>
      </c>
    </row>
    <row r="137">
      <c r="H137" s="201" t="n"/>
      <c r="I137" s="245">
        <f>IFERROR(IF(F137="","",IF(OR(H137="",H137=0),IF(G137="","",G137),ROUND(F137*(1-H137),2))),"")</f>
        <v/>
      </c>
    </row>
    <row r="138">
      <c r="H138" s="201" t="n"/>
      <c r="I138" s="245">
        <f>IFERROR(IF(F138="","",IF(OR(H138="",H138=0),IF(G138="","",G138),ROUND(F138*(1-H138),2))),"")</f>
        <v/>
      </c>
    </row>
    <row r="139">
      <c r="H139" s="201" t="n"/>
      <c r="I139" s="245">
        <f>IFERROR(IF(F139="","",IF(OR(H139="",H139=0),IF(G139="","",G139),ROUND(F139*(1-H139),2))),"")</f>
        <v/>
      </c>
    </row>
    <row r="140">
      <c r="H140" s="201" t="n"/>
      <c r="I140" s="245">
        <f>IFERROR(IF(F140="","",IF(OR(H140="",H140=0),IF(G140="","",G140),ROUND(F140*(1-H140),2))),"")</f>
        <v/>
      </c>
    </row>
    <row r="141">
      <c r="H141" s="201" t="n"/>
      <c r="I141" s="245">
        <f>IFERROR(IF(F141="","",IF(OR(H141="",H141=0),IF(G141="","",G141),ROUND(F141*(1-H141),2))),"")</f>
        <v/>
      </c>
    </row>
    <row r="142">
      <c r="H142" s="201" t="n"/>
      <c r="I142" s="245">
        <f>IFERROR(IF(F142="","",IF(OR(H142="",H142=0),IF(G142="","",G142),ROUND(F142*(1-H142),2))),"")</f>
        <v/>
      </c>
    </row>
    <row r="143">
      <c r="H143" s="201" t="n"/>
      <c r="I143" s="245">
        <f>IFERROR(IF(F143="","",IF(OR(H143="",H143=0),IF(G143="","",G143),ROUND(F143*(1-H143),2))),"")</f>
        <v/>
      </c>
    </row>
    <row r="144">
      <c r="H144" s="201" t="n"/>
      <c r="I144" s="245">
        <f>IFERROR(IF(F144="","",IF(OR(H144="",H144=0),IF(G144="","",G144),ROUND(F144*(1-H144),2))),"")</f>
        <v/>
      </c>
    </row>
    <row r="145">
      <c r="H145" s="201" t="n"/>
      <c r="I145" s="245">
        <f>IFERROR(IF(F145="","",IF(OR(H145="",H145=0),IF(G145="","",G145),ROUND(F145*(1-H145),2))),"")</f>
        <v/>
      </c>
    </row>
    <row r="146">
      <c r="H146" s="201" t="n"/>
      <c r="I146" s="245">
        <f>IFERROR(IF(F146="","",IF(OR(H146="",H146=0),IF(G146="","",G146),ROUND(F146*(1-H146),2))),"")</f>
        <v/>
      </c>
    </row>
    <row r="147">
      <c r="H147" s="201" t="n"/>
      <c r="I147" s="245">
        <f>IFERROR(IF(F147="","",IF(OR(H147="",H147=0),IF(G147="","",G147),ROUND(F147*(1-H147),2))),"")</f>
        <v/>
      </c>
    </row>
    <row r="148">
      <c r="H148" s="201" t="n"/>
      <c r="I148" s="245">
        <f>IFERROR(IF(F148="","",IF(OR(H148="",H148=0),IF(G148="","",G148),ROUND(F148*(1-H148),2))),"")</f>
        <v/>
      </c>
    </row>
    <row r="149">
      <c r="H149" s="201" t="n"/>
      <c r="I149" s="245">
        <f>IFERROR(IF(F149="","",IF(OR(H149="",H149=0),IF(G149="","",G149),ROUND(F149*(1-H149),2))),"")</f>
        <v/>
      </c>
    </row>
    <row r="150">
      <c r="H150" s="201" t="n"/>
      <c r="I150" s="245">
        <f>IFERROR(IF(F150="","",IF(OR(H150="",H150=0),IF(G150="","",G150),ROUND(F150*(1-H150),2))),"")</f>
        <v/>
      </c>
    </row>
    <row r="151">
      <c r="H151" s="201" t="n"/>
      <c r="I151" s="245">
        <f>IFERROR(IF(F151="","",IF(OR(H151="",H151=0),IF(G151="","",G151),ROUND(F151*(1-H151),2))),"")</f>
        <v/>
      </c>
    </row>
    <row r="152">
      <c r="H152" s="201" t="n"/>
      <c r="I152" s="245">
        <f>IFERROR(IF(F152="","",IF(OR(H152="",H152=0),IF(G152="","",G152),ROUND(F152*(1-H152),2))),"")</f>
        <v/>
      </c>
    </row>
    <row r="153">
      <c r="H153" s="201" t="n"/>
      <c r="I153" s="245">
        <f>IFERROR(IF(F153="","",IF(OR(H153="",H153=0),IF(G153="","",G153),ROUND(F153*(1-H153),2))),"")</f>
        <v/>
      </c>
    </row>
    <row r="154">
      <c r="H154" s="201" t="n"/>
      <c r="I154" s="245">
        <f>IFERROR(IF(F154="","",IF(OR(H154="",H154=0),IF(G154="","",G154),ROUND(F154*(1-H154),2))),"")</f>
        <v/>
      </c>
    </row>
    <row r="155">
      <c r="H155" s="201" t="n"/>
      <c r="I155" s="245">
        <f>IFERROR(IF(F155="","",IF(OR(H155="",H155=0),IF(G155="","",G155),ROUND(F155*(1-H155),2))),"")</f>
        <v/>
      </c>
    </row>
    <row r="156">
      <c r="H156" s="201" t="n"/>
      <c r="I156" s="245">
        <f>IFERROR(IF(F156="","",IF(OR(H156="",H156=0),IF(G156="","",G156),ROUND(F156*(1-H156),2))),"")</f>
        <v/>
      </c>
    </row>
    <row r="157">
      <c r="H157" s="201" t="n"/>
      <c r="I157" s="245">
        <f>IFERROR(IF(F157="","",IF(OR(H157="",H157=0),IF(G157="","",G157),ROUND(F157*(1-H157),2))),"")</f>
        <v/>
      </c>
    </row>
    <row r="158">
      <c r="H158" s="201" t="n"/>
      <c r="I158" s="245">
        <f>IFERROR(IF(F158="","",IF(OR(H158="",H158=0),IF(G158="","",G158),ROUND(F158*(1-H158),2))),"")</f>
        <v/>
      </c>
    </row>
    <row r="159">
      <c r="H159" s="201" t="n"/>
      <c r="I159" s="245">
        <f>IFERROR(IF(F159="","",IF(OR(H159="",H159=0),IF(G159="","",G159),ROUND(F159*(1-H159),2))),"")</f>
        <v/>
      </c>
    </row>
    <row r="160">
      <c r="H160" s="201" t="n"/>
      <c r="I160" s="245">
        <f>IFERROR(IF(F160="","",IF(OR(H160="",H160=0),IF(G160="","",G160),ROUND(F160*(1-H160),2))),"")</f>
        <v/>
      </c>
    </row>
    <row r="161">
      <c r="H161" s="201" t="n"/>
      <c r="I161" s="245">
        <f>IFERROR(IF(F161="","",IF(OR(H161="",H161=0),IF(G161="","",G161),ROUND(F161*(1-H161),2))),"")</f>
        <v/>
      </c>
    </row>
    <row r="162">
      <c r="H162" s="201" t="n"/>
      <c r="I162" s="245">
        <f>IFERROR(IF(F162="","",IF(OR(H162="",H162=0),IF(G162="","",G162),ROUND(F162*(1-H162),2))),"")</f>
        <v/>
      </c>
    </row>
    <row r="163">
      <c r="H163" s="201" t="n"/>
      <c r="I163" s="245">
        <f>IFERROR(IF(F163="","",IF(OR(H163="",H163=0),IF(G163="","",G163),ROUND(F163*(1-H163),2))),"")</f>
        <v/>
      </c>
    </row>
    <row r="164">
      <c r="H164" s="201" t="n"/>
      <c r="I164" s="245">
        <f>IFERROR(IF(F164="","",IF(OR(H164="",H164=0),IF(G164="","",G164),ROUND(F164*(1-H164),2))),"")</f>
        <v/>
      </c>
    </row>
    <row r="165">
      <c r="H165" s="201" t="n"/>
      <c r="I165" s="245">
        <f>IFERROR(IF(F165="","",IF(OR(H165="",H165=0),IF(G165="","",G165),ROUND(F165*(1-H165),2))),"")</f>
        <v/>
      </c>
    </row>
    <row r="166">
      <c r="H166" s="201" t="n"/>
      <c r="I166" s="245">
        <f>IFERROR(IF(F166="","",IF(OR(H166="",H166=0),IF(G166="","",G166),ROUND(F166*(1-H166),2))),"")</f>
        <v/>
      </c>
    </row>
    <row r="167">
      <c r="H167" s="201" t="n"/>
      <c r="I167" s="245">
        <f>IFERROR(IF(F167="","",IF(OR(H167="",H167=0),IF(G167="","",G167),ROUND(F167*(1-H167),2))),"")</f>
        <v/>
      </c>
    </row>
    <row r="168">
      <c r="H168" s="201" t="n"/>
      <c r="I168" s="245">
        <f>IFERROR(IF(F168="","",IF(OR(H168="",H168=0),IF(G168="","",G168),ROUND(F168*(1-H168),2))),"")</f>
        <v/>
      </c>
    </row>
    <row r="169">
      <c r="H169" s="201" t="n"/>
      <c r="I169" s="245">
        <f>IFERROR(IF(F169="","",IF(OR(H169="",H169=0),IF(G169="","",G169),ROUND(F169*(1-H169),2))),"")</f>
        <v/>
      </c>
    </row>
    <row r="170">
      <c r="H170" s="201" t="n"/>
      <c r="I170" s="245">
        <f>IFERROR(IF(F170="","",IF(OR(H170="",H170=0),IF(G170="","",G170),ROUND(F170*(1-H170),2))),"")</f>
        <v/>
      </c>
    </row>
    <row r="171">
      <c r="H171" s="201" t="n"/>
      <c r="I171" s="245">
        <f>IFERROR(IF(F171="","",IF(OR(H171="",H171=0),IF(G171="","",G171),ROUND(F171*(1-H171),2))),"")</f>
        <v/>
      </c>
    </row>
    <row r="172">
      <c r="H172" s="201" t="n"/>
      <c r="I172" s="245">
        <f>IFERROR(IF(F172="","",IF(OR(H172="",H172=0),IF(G172="","",G172),ROUND(F172*(1-H172),2))),"")</f>
        <v/>
      </c>
    </row>
    <row r="173">
      <c r="H173" s="201" t="n"/>
      <c r="I173" s="245">
        <f>IFERROR(IF(F173="","",IF(OR(H173="",H173=0),IF(G173="","",G173),ROUND(F173*(1-H173),2))),"")</f>
        <v/>
      </c>
    </row>
    <row r="174">
      <c r="H174" s="201" t="n"/>
      <c r="I174" s="245">
        <f>IFERROR(IF(F174="","",IF(OR(H174="",H174=0),IF(G174="","",G174),ROUND(F174*(1-H174),2))),"")</f>
        <v/>
      </c>
    </row>
    <row r="175">
      <c r="H175" s="201" t="n"/>
      <c r="I175" s="245">
        <f>IFERROR(IF(F175="","",IF(OR(H175="",H175=0),IF(G175="","",G175),ROUND(F175*(1-H175),2))),"")</f>
        <v/>
      </c>
    </row>
    <row r="176">
      <c r="H176" s="201" t="n"/>
      <c r="I176" s="245">
        <f>IFERROR(IF(F176="","",IF(OR(H176="",H176=0),IF(G176="","",G176),ROUND(F176*(1-H176),2))),"")</f>
        <v/>
      </c>
    </row>
    <row r="177">
      <c r="H177" s="201" t="n"/>
      <c r="I177" s="245">
        <f>IFERROR(IF(F177="","",IF(OR(H177="",H177=0),IF(G177="","",G177),ROUND(F177*(1-H177),2))),"")</f>
        <v/>
      </c>
    </row>
    <row r="178">
      <c r="H178" s="201" t="n"/>
      <c r="I178" s="245">
        <f>IFERROR(IF(F178="","",IF(OR(H178="",H178=0),IF(G178="","",G178),ROUND(F178*(1-H178),2))),"")</f>
        <v/>
      </c>
    </row>
    <row r="179">
      <c r="H179" s="201" t="n"/>
      <c r="I179" s="245">
        <f>IFERROR(IF(F179="","",IF(OR(H179="",H179=0),IF(G179="","",G179),ROUND(F179*(1-H179),2))),"")</f>
        <v/>
      </c>
    </row>
    <row r="180">
      <c r="H180" s="201" t="n"/>
      <c r="I180" s="245">
        <f>IFERROR(IF(F180="","",IF(OR(H180="",H180=0),IF(G180="","",G180),ROUND(F180*(1-H180),2))),"")</f>
        <v/>
      </c>
    </row>
    <row r="181">
      <c r="H181" s="201" t="n"/>
      <c r="I181" s="245">
        <f>IFERROR(IF(F181="","",IF(OR(H181="",H181=0),IF(G181="","",G181),ROUND(F181*(1-H181),2))),"")</f>
        <v/>
      </c>
    </row>
    <row r="182">
      <c r="H182" s="201" t="n"/>
      <c r="I182" s="245">
        <f>IFERROR(IF(F182="","",IF(OR(H182="",H182=0),IF(G182="","",G182),ROUND(F182*(1-H182),2))),"")</f>
        <v/>
      </c>
    </row>
    <row r="183">
      <c r="H183" s="201" t="n"/>
      <c r="I183" s="245">
        <f>IFERROR(IF(F183="","",IF(OR(H183="",H183=0),IF(G183="","",G183),ROUND(F183*(1-H183),2))),"")</f>
        <v/>
      </c>
    </row>
    <row r="184">
      <c r="H184" s="201" t="n"/>
      <c r="I184" s="245">
        <f>IFERROR(IF(F184="","",IF(OR(H184="",H184=0),IF(G184="","",G184),ROUND(F184*(1-H184),2))),"")</f>
        <v/>
      </c>
    </row>
    <row r="185">
      <c r="H185" s="201" t="n"/>
      <c r="I185" s="245">
        <f>IFERROR(IF(F185="","",IF(OR(H185="",H185=0),IF(G185="","",G185),ROUND(F185*(1-H185),2))),"")</f>
        <v/>
      </c>
    </row>
    <row r="186">
      <c r="H186" s="201" t="n"/>
      <c r="I186" s="245">
        <f>IFERROR(IF(F186="","",IF(OR(H186="",H186=0),IF(G186="","",G186),ROUND(F186*(1-H186),2))),"")</f>
        <v/>
      </c>
    </row>
    <row r="187">
      <c r="H187" s="201" t="n"/>
      <c r="I187" s="245">
        <f>IFERROR(IF(F187="","",IF(OR(H187="",H187=0),IF(G187="","",G187),ROUND(F187*(1-H187),2))),"")</f>
        <v/>
      </c>
    </row>
    <row r="188">
      <c r="H188" s="201" t="n"/>
      <c r="I188" s="245">
        <f>IFERROR(IF(F188="","",IF(OR(H188="",H188=0),IF(G188="","",G188),ROUND(F188*(1-H188),2))),"")</f>
        <v/>
      </c>
    </row>
    <row r="189">
      <c r="H189" s="201" t="n"/>
      <c r="I189" s="245">
        <f>IFERROR(IF(F189="","",IF(OR(H189="",H189=0),IF(G189="","",G189),ROUND(F189*(1-H189),2))),"")</f>
        <v/>
      </c>
    </row>
    <row r="190">
      <c r="H190" s="201" t="n"/>
      <c r="I190" s="245">
        <f>IFERROR(IF(F190="","",IF(OR(H190="",H190=0),IF(G190="","",G190),ROUND(F190*(1-H190),2))),"")</f>
        <v/>
      </c>
    </row>
    <row r="191">
      <c r="H191" s="201" t="n"/>
      <c r="I191" s="245">
        <f>IFERROR(IF(F191="","",IF(OR(H191="",H191=0),IF(G191="","",G191),ROUND(F191*(1-H191),2))),"")</f>
        <v/>
      </c>
    </row>
    <row r="192">
      <c r="H192" s="201" t="n"/>
      <c r="I192" s="245">
        <f>IFERROR(IF(F192="","",IF(OR(H192="",H192=0),IF(G192="","",G192),ROUND(F192*(1-H192),2))),"")</f>
        <v/>
      </c>
    </row>
    <row r="193">
      <c r="H193" s="201" t="n"/>
      <c r="I193" s="245">
        <f>IFERROR(IF(F193="","",IF(OR(H193="",H193=0),IF(G193="","",G193),ROUND(F193*(1-H193),2))),"")</f>
        <v/>
      </c>
    </row>
    <row r="194">
      <c r="H194" s="201" t="n"/>
      <c r="I194" s="245">
        <f>IFERROR(IF(F194="","",IF(OR(H194="",H194=0),IF(G194="","",G194),ROUND(F194*(1-H194),2))),"")</f>
        <v/>
      </c>
    </row>
    <row r="195">
      <c r="H195" s="201" t="n"/>
      <c r="I195" s="245">
        <f>IFERROR(IF(F195="","",IF(OR(H195="",H195=0),IF(G195="","",G195),ROUND(F195*(1-H195),2))),"")</f>
        <v/>
      </c>
    </row>
    <row r="196">
      <c r="H196" s="201" t="n"/>
      <c r="I196" s="245">
        <f>IFERROR(IF(F196="","",IF(OR(H196="",H196=0),IF(G196="","",G196),ROUND(F196*(1-H196),2))),"")</f>
        <v/>
      </c>
    </row>
    <row r="197">
      <c r="H197" s="201" t="n"/>
      <c r="I197" s="245">
        <f>IFERROR(IF(F197="","",IF(OR(H197="",H197=0),IF(G197="","",G197),ROUND(F197*(1-H197),2))),"")</f>
        <v/>
      </c>
    </row>
    <row r="198">
      <c r="H198" s="201" t="n"/>
      <c r="I198" s="245">
        <f>IFERROR(IF(F198="","",IF(OR(H198="",H198=0),IF(G198="","",G198),ROUND(F198*(1-H198),2))),"")</f>
        <v/>
      </c>
    </row>
    <row r="199">
      <c r="H199" s="201" t="n"/>
      <c r="I199" s="245">
        <f>IFERROR(IF(F199="","",IF(OR(H199="",H199=0),IF(G199="","",G199),ROUND(F199*(1-H199),2))),"")</f>
        <v/>
      </c>
    </row>
    <row r="200">
      <c r="H200" s="201" t="n"/>
      <c r="I200" s="245">
        <f>IFERROR(IF(F200="","",IF(OR(H200="",H200=0),IF(G200="","",G200),ROUND(F200*(1-H200),2))),"")</f>
        <v/>
      </c>
    </row>
  </sheetData>
  <mergeCells count="8">
    <mergeCell ref="P7:U7"/>
    <mergeCell ref="L7:M7"/>
    <mergeCell ref="A2:U2"/>
    <mergeCell ref="F7:I7"/>
    <mergeCell ref="N7:O7"/>
    <mergeCell ref="A1:S1"/>
    <mergeCell ref="A7:D7"/>
    <mergeCell ref="A1:U1"/>
  </mergeCells>
  <conditionalFormatting sqref="A1 A12:A1048576">
    <cfRule type="duplicateValues" priority="13" dxfId="9"/>
  </conditionalFormatting>
  <conditionalFormatting sqref="G10:H11">
    <cfRule type="expression" priority="19" dxfId="8">
      <formula>AND(NOT(OR($G9="",$G9="Selecionar Estratégia")),$J9&lt;&gt;"",$F9&lt;$J9)</formula>
    </cfRule>
  </conditionalFormatting>
  <conditionalFormatting sqref="L10:L11">
    <cfRule type="cellIs" priority="3" operator="between" dxfId="7">
      <formula>-0.01</formula>
      <formula>-10000%</formula>
    </cfRule>
    <cfRule type="cellIs" priority="4" operator="between" dxfId="6">
      <formula>0.36</formula>
      <formula>1</formula>
    </cfRule>
    <cfRule type="cellIs" priority="5" operator="between" dxfId="5">
      <formula>0.31</formula>
      <formula>0.359</formula>
    </cfRule>
    <cfRule type="cellIs" priority="6" operator="between" dxfId="4">
      <formula>0.24</formula>
      <formula>0.309</formula>
    </cfRule>
    <cfRule type="cellIs" priority="7" operator="between" dxfId="3">
      <formula>0.18</formula>
      <formula>0.239</formula>
    </cfRule>
    <cfRule type="cellIs" priority="8" operator="between" dxfId="2">
      <formula>0.11</formula>
      <formula>0.179</formula>
    </cfRule>
    <cfRule type="cellIs" priority="9" operator="between" dxfId="1">
      <formula>0.09</formula>
      <formula>0.109</formula>
    </cfRule>
    <cfRule type="cellIs" priority="10" operator="between" dxfId="0">
      <formula>0</formula>
      <formula>0.089</formula>
    </cfRule>
  </conditionalFormatting>
  <dataValidations count="2">
    <dataValidation sqref="H10:H200" showDropDown="0" showInputMessage="0" showErrorMessage="0" allowBlank="1" type="list">
      <formula1>tb_desconto_de_para[Desc DE→PARA]</formula1>
    </dataValidation>
    <dataValidation sqref="K10:K200" showDropDown="0" showInputMessage="0" showErrorMessage="0" allowBlank="1" type="list">
      <formula1>Auxiliar!$A$45:$A$50</formula1>
    </dataValidation>
  </dataValidation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Planilha4">
    <tabColor theme="0" tint="-0.499984740745262"/>
    <outlinePr summaryBelow="1" summaryRight="1"/>
    <pageSetUpPr/>
  </sheetPr>
  <dimension ref="A1:XFD83"/>
  <sheetViews>
    <sheetView topLeftCell="A53" workbookViewId="0">
      <pane ySplit="7" topLeftCell="A8" activePane="bottomLeft" state="frozen"/>
      <selection pane="bottomLeft" activeCell="F58" sqref="F58"/>
    </sheetView>
  </sheetViews>
  <sheetFormatPr baseColWidth="8" defaultRowHeight="15"/>
  <cols>
    <col width="18" customWidth="1" min="1" max="1"/>
    <col width="18" bestFit="1" customWidth="1" min="2" max="2"/>
    <col width="18" bestFit="1" customWidth="1" min="3" max="3"/>
    <col width="10" bestFit="1" customWidth="1" min="4" max="4"/>
    <col width="16" customWidth="1" min="5" max="5"/>
    <col width="12" bestFit="1" customWidth="1" min="6" max="6"/>
    <col width="5" bestFit="1" customWidth="1" min="7" max="7"/>
    <col width="5" customWidth="1" min="8" max="8"/>
    <col width="18" customWidth="1" min="9" max="9"/>
    <col width="12" customWidth="1" min="10" max="10"/>
    <col width="10" customWidth="1" min="11" max="11"/>
    <col width="10.28515625" customWidth="1" min="17" max="17"/>
  </cols>
  <sheetData>
    <row r="1" ht="30" customHeight="1">
      <c r="A1" s="249" t="inlineStr">
        <is>
          <t>📋  AUXILIAR — Tabelas de Referência</t>
        </is>
      </c>
    </row>
    <row r="2" ht="16" customHeight="1">
      <c r="A2" s="250" t="inlineStr">
        <is>
          <t>Fornecedores · Estratégias · % DE→PARA · Config. Shein · Faixas Shopee · Frete ML</t>
        </is>
      </c>
    </row>
    <row r="3" ht="5" customHeight="1">
      <c r="A3" s="251" t="n"/>
      <c r="B3" s="251" t="n"/>
      <c r="C3" s="251" t="n"/>
      <c r="D3" s="251" t="n"/>
      <c r="E3" s="251" t="n"/>
      <c r="F3" s="251" t="n"/>
      <c r="G3" s="251" t="n"/>
      <c r="H3" s="251" t="n"/>
      <c r="I3" s="251" t="n"/>
      <c r="J3" s="251" t="n"/>
      <c r="K3" s="251" t="n"/>
    </row>
    <row r="7" customFormat="1" s="139">
      <c r="A7" s="252" t="inlineStr">
        <is>
          <t>Geral</t>
        </is>
      </c>
    </row>
    <row r="8" customFormat="1" s="139"/>
    <row r="9" ht="15.75" customHeight="1" thickBot="1">
      <c r="A9" s="253" t="inlineStr">
        <is>
          <t>Fornecedores/Clientes</t>
        </is>
      </c>
      <c r="B9" s="253" t="inlineStr">
        <is>
          <t>Loja</t>
        </is>
      </c>
    </row>
    <row r="10" ht="15.75" customHeight="1" thickBot="1">
      <c r="A10" s="254" t="inlineStr">
        <is>
          <t>KRICA</t>
        </is>
      </c>
      <c r="B10" s="254" t="inlineStr">
        <is>
          <t>KricaKids</t>
        </is>
      </c>
    </row>
    <row r="11" ht="15.75" customHeight="1" thickBot="1">
      <c r="A11" s="255" t="inlineStr">
        <is>
          <t>DANIK</t>
        </is>
      </c>
      <c r="B11" s="255" t="inlineStr">
        <is>
          <t>Presente Net</t>
        </is>
      </c>
    </row>
    <row r="12" ht="15.75" customHeight="1" thickBot="1">
      <c r="A12" s="254" t="inlineStr">
        <is>
          <t>SAMUE</t>
        </is>
      </c>
      <c r="B12" s="254" t="inlineStr">
        <is>
          <t>Presente Net</t>
        </is>
      </c>
    </row>
    <row r="13" ht="15.75" customHeight="1" thickBot="1">
      <c r="A13" s="255" t="inlineStr">
        <is>
          <t>YUUPP</t>
        </is>
      </c>
      <c r="B13" s="255" t="inlineStr">
        <is>
          <t>Presente Net</t>
        </is>
      </c>
    </row>
    <row r="14" ht="15.75" customHeight="1" thickBot="1">
      <c r="A14" s="254" t="inlineStr">
        <is>
          <t>PERNA</t>
        </is>
      </c>
      <c r="B14" s="254" t="inlineStr">
        <is>
          <t>Presente Net</t>
        </is>
      </c>
    </row>
    <row r="15" ht="15.75" customHeight="1" thickBot="1">
      <c r="A15" s="255" t="inlineStr">
        <is>
          <t>ESKIR</t>
        </is>
      </c>
      <c r="B15" s="255" t="inlineStr">
        <is>
          <t>Presente Net</t>
        </is>
      </c>
    </row>
    <row r="16" ht="15.75" customHeight="1" thickBot="1">
      <c r="A16" s="254" t="inlineStr">
        <is>
          <t>DELIA</t>
        </is>
      </c>
      <c r="B16" s="254" t="inlineStr">
        <is>
          <t>Presente Net</t>
        </is>
      </c>
    </row>
    <row r="17" ht="15.75" customHeight="1" thickBot="1">
      <c r="A17" s="255" t="inlineStr">
        <is>
          <t>PINK</t>
        </is>
      </c>
      <c r="B17" s="255" t="inlineStr">
        <is>
          <t>Presente Net</t>
        </is>
      </c>
    </row>
    <row r="18" ht="15.75" customHeight="1" thickBot="1">
      <c r="A18" s="254" t="inlineStr">
        <is>
          <t>REIZA</t>
        </is>
      </c>
      <c r="B18" s="254" t="inlineStr">
        <is>
          <t>Presente Net</t>
        </is>
      </c>
    </row>
    <row r="19" ht="15.75" customHeight="1" thickBot="1">
      <c r="A19" s="255" t="inlineStr">
        <is>
          <t>RYEYB</t>
        </is>
      </c>
      <c r="B19" s="255" t="inlineStr">
        <is>
          <t>Presente Net</t>
        </is>
      </c>
    </row>
    <row r="20" ht="15.75" customHeight="1" thickBot="1">
      <c r="A20" s="254" t="inlineStr">
        <is>
          <t>FVCON</t>
        </is>
      </c>
      <c r="B20" s="254" t="inlineStr">
        <is>
          <t>Presente Net</t>
        </is>
      </c>
    </row>
    <row r="21" ht="15.75" customHeight="1" thickBot="1">
      <c r="A21" s="255" t="inlineStr">
        <is>
          <t>CORAC</t>
        </is>
      </c>
      <c r="B21" s="255" t="inlineStr">
        <is>
          <t>Presente Net</t>
        </is>
      </c>
    </row>
    <row r="22" ht="15.75" customHeight="1" thickBot="1">
      <c r="A22" s="254" t="inlineStr">
        <is>
          <t>DJD</t>
        </is>
      </c>
      <c r="B22" s="254" t="inlineStr">
        <is>
          <t>Presente Net</t>
        </is>
      </c>
    </row>
    <row r="23" ht="15.75" customHeight="1" thickBot="1">
      <c r="A23" s="255" t="inlineStr">
        <is>
          <t>NPRIS</t>
        </is>
      </c>
      <c r="B23" s="255" t="inlineStr">
        <is>
          <t>Presente Net</t>
        </is>
      </c>
    </row>
    <row r="24" ht="15.75" customHeight="1" thickBot="1">
      <c r="A24" s="254" t="inlineStr">
        <is>
          <t>BERTT</t>
        </is>
      </c>
      <c r="B24" s="254" t="inlineStr">
        <is>
          <t>Presente Net</t>
        </is>
      </c>
    </row>
    <row r="25" ht="15.75" customHeight="1" thickBot="1">
      <c r="A25" s="255" t="inlineStr">
        <is>
          <t>ESTRE</t>
        </is>
      </c>
      <c r="B25" s="255" t="inlineStr">
        <is>
          <t>Presente Net</t>
        </is>
      </c>
    </row>
    <row r="26" ht="15.75" customHeight="1" thickBot="1">
      <c r="A26" s="254" t="inlineStr">
        <is>
          <t>TGMOD</t>
        </is>
      </c>
      <c r="B26" s="254" t="inlineStr">
        <is>
          <t>Presente Net</t>
        </is>
      </c>
    </row>
    <row r="27" ht="15.75" customHeight="1" thickBot="1">
      <c r="A27" s="255" t="inlineStr">
        <is>
          <t>LOREN</t>
        </is>
      </c>
      <c r="B27" s="255" t="inlineStr">
        <is>
          <t>Presente Net</t>
        </is>
      </c>
    </row>
    <row r="28" ht="15.75" customHeight="1" thickBot="1">
      <c r="A28" s="254" t="inlineStr">
        <is>
          <t>SHEIL</t>
        </is>
      </c>
      <c r="B28" s="254" t="inlineStr">
        <is>
          <t>Presente Net</t>
        </is>
      </c>
    </row>
    <row r="29" ht="15.75" customHeight="1" thickBot="1">
      <c r="A29" s="255" t="inlineStr">
        <is>
          <t>NAJIN</t>
        </is>
      </c>
      <c r="B29" s="255" t="inlineStr">
        <is>
          <t>Presente Net</t>
        </is>
      </c>
    </row>
    <row r="30" ht="15.75" customHeight="1" thickBot="1">
      <c r="A30" s="254" t="inlineStr">
        <is>
          <t>JUDIT</t>
        </is>
      </c>
      <c r="B30" s="254" t="inlineStr">
        <is>
          <t>Presente Net</t>
        </is>
      </c>
    </row>
    <row r="31" ht="15.75" customHeight="1" thickBot="1">
      <c r="A31" s="255" t="inlineStr">
        <is>
          <t>FIDIL</t>
        </is>
      </c>
      <c r="B31" s="255" t="inlineStr">
        <is>
          <t>Presente Net</t>
        </is>
      </c>
    </row>
    <row r="32" ht="15.75" customHeight="1" thickBot="1">
      <c r="A32" s="254" t="inlineStr">
        <is>
          <t>WESLE</t>
        </is>
      </c>
      <c r="B32" s="254" t="inlineStr">
        <is>
          <t>Presente Net</t>
        </is>
      </c>
    </row>
    <row r="33" ht="15.75" customHeight="1" thickBot="1">
      <c r="A33" s="255" t="inlineStr">
        <is>
          <t>HESED</t>
        </is>
      </c>
      <c r="B33" s="255" t="inlineStr">
        <is>
          <t>Presente Net</t>
        </is>
      </c>
    </row>
    <row r="34" ht="15.75" customHeight="1" thickBot="1">
      <c r="A34" s="254" t="inlineStr">
        <is>
          <t>JHULY</t>
        </is>
      </c>
      <c r="B34" s="254" t="inlineStr">
        <is>
          <t>Presente Net</t>
        </is>
      </c>
    </row>
    <row r="35" ht="15.75" customHeight="1" thickBot="1">
      <c r="A35" s="255" t="inlineStr">
        <is>
          <t>BURAC</t>
        </is>
      </c>
      <c r="B35" s="255" t="inlineStr">
        <is>
          <t>Presente Net</t>
        </is>
      </c>
    </row>
    <row r="36" ht="15.75" customHeight="1" thickBot="1">
      <c r="A36" s="254" t="inlineStr">
        <is>
          <t>MARIA</t>
        </is>
      </c>
      <c r="B36" s="254" t="inlineStr">
        <is>
          <t>Presente Net</t>
        </is>
      </c>
    </row>
    <row r="37" ht="15.75" customHeight="1" thickBot="1">
      <c r="A37" s="255" t="inlineStr">
        <is>
          <t>FASHI</t>
        </is>
      </c>
      <c r="B37" s="255" t="inlineStr">
        <is>
          <t>Presente Net</t>
        </is>
      </c>
    </row>
    <row r="38" ht="15.75" customHeight="1" thickBot="1">
      <c r="A38" s="254" t="inlineStr">
        <is>
          <t>SYANG</t>
        </is>
      </c>
      <c r="B38" s="254" t="inlineStr">
        <is>
          <t>Presente Net</t>
        </is>
      </c>
    </row>
    <row r="39" ht="15.75" customHeight="1" thickBot="1">
      <c r="A39" s="255" t="inlineStr">
        <is>
          <t>RVG</t>
        </is>
      </c>
      <c r="B39" s="255" t="inlineStr">
        <is>
          <t>Presente Net</t>
        </is>
      </c>
    </row>
    <row r="40" ht="15.75" customHeight="1" thickBot="1">
      <c r="A40" s="254" t="inlineStr">
        <is>
          <t>MDMOD</t>
        </is>
      </c>
      <c r="B40" s="254" t="inlineStr">
        <is>
          <t>Presente Net</t>
        </is>
      </c>
    </row>
    <row r="41" ht="15.75" customHeight="1" thickBot="1">
      <c r="A41" s="255" t="inlineStr">
        <is>
          <t>EDUAR</t>
        </is>
      </c>
      <c r="B41" s="255" t="inlineStr">
        <is>
          <t>Presente Net</t>
        </is>
      </c>
    </row>
    <row r="42" ht="15.75" customHeight="1" thickBot="1">
      <c r="A42" s="254" t="inlineStr">
        <is>
          <t>NOVAG</t>
        </is>
      </c>
      <c r="B42" s="254" t="inlineStr">
        <is>
          <t>Presente Net</t>
        </is>
      </c>
    </row>
    <row r="43" ht="15.75" customHeight="1" thickBot="1">
      <c r="A43" s="255" t="inlineStr">
        <is>
          <t>ANABIJO</t>
        </is>
      </c>
      <c r="B43" s="255" t="inlineStr">
        <is>
          <t>Presente Net</t>
        </is>
      </c>
    </row>
    <row r="44" ht="15.75" customHeight="1" thickBot="1">
      <c r="A44" s="254" t="inlineStr">
        <is>
          <t>AWAAA</t>
        </is>
      </c>
      <c r="B44" s="254" t="inlineStr">
        <is>
          <t>Presente Net</t>
        </is>
      </c>
    </row>
    <row r="45">
      <c r="A45" s="256" t="inlineStr">
        <is>
          <t>Estratégias</t>
        </is>
      </c>
      <c r="C45" s="257" t="inlineStr">
        <is>
          <t>Desc DE→PARA</t>
        </is>
      </c>
      <c r="D45" s="257" t="inlineStr">
        <is>
          <t>% Valor</t>
        </is>
      </c>
      <c r="E45" s="258" t="inlineStr">
        <is>
          <t>Config. Shein</t>
        </is>
      </c>
      <c r="F45" s="258" t="inlineStr">
        <is>
          <t>Valor</t>
        </is>
      </c>
    </row>
    <row r="46">
      <c r="A46" s="196" t="inlineStr">
        <is>
          <t>Só DE/PARA</t>
        </is>
      </c>
      <c r="C46" s="254" t="inlineStr">
        <is>
          <t>Sem desconto</t>
        </is>
      </c>
      <c r="D46" s="259" t="n">
        <v>0</v>
      </c>
      <c r="E46" s="260" t="inlineStr">
        <is>
          <t>Comissão (%)</t>
        </is>
      </c>
      <c r="F46" s="261" t="n">
        <v>0.2</v>
      </c>
    </row>
    <row r="47">
      <c r="A47" s="262" t="n">
        <v>0.23</v>
      </c>
      <c r="C47" s="255" t="inlineStr">
        <is>
          <t>5%</t>
        </is>
      </c>
      <c r="D47" s="262" t="n">
        <v>0.05</v>
      </c>
      <c r="E47" s="263" t="inlineStr">
        <is>
          <t>Taxa Fixa (R$)</t>
        </is>
      </c>
      <c r="F47" s="264" t="n">
        <v>5</v>
      </c>
    </row>
    <row r="48">
      <c r="A48" s="259" t="n">
        <v>0.17</v>
      </c>
      <c r="C48" s="254" t="inlineStr">
        <is>
          <t>10%</t>
        </is>
      </c>
      <c r="D48" s="259" t="n">
        <v>0.1</v>
      </c>
    </row>
    <row r="49">
      <c r="A49" s="262" t="n">
        <v>0.1</v>
      </c>
      <c r="C49" s="255" t="inlineStr">
        <is>
          <t>15%</t>
        </is>
      </c>
      <c r="D49" s="262" t="n">
        <v>0.15</v>
      </c>
    </row>
    <row r="50">
      <c r="A50" s="259" t="n">
        <v>0</v>
      </c>
      <c r="C50" s="254" t="inlineStr">
        <is>
          <t>20%</t>
        </is>
      </c>
      <c r="D50" s="259" t="n">
        <v>0.2</v>
      </c>
    </row>
    <row r="51">
      <c r="C51" s="255" t="inlineStr">
        <is>
          <t>25%</t>
        </is>
      </c>
      <c r="D51" s="262" t="n">
        <v>0.25</v>
      </c>
    </row>
    <row r="52">
      <c r="C52" s="254" t="inlineStr">
        <is>
          <t>30%</t>
        </is>
      </c>
      <c r="D52" s="259" t="n">
        <v>0.3</v>
      </c>
    </row>
    <row r="53" customFormat="1" s="140">
      <c r="A53" s="140" t="inlineStr">
        <is>
          <t>Mercado Livre</t>
        </is>
      </c>
    </row>
    <row r="54" customFormat="1" s="140"/>
    <row r="56">
      <c r="A56" s="142" t="inlineStr">
        <is>
          <t>Tabela Frete Mercado Livre</t>
        </is>
      </c>
      <c r="K56" t="inlineStr">
        <is>
          <t>Categoria (%)</t>
        </is>
      </c>
    </row>
    <row r="57" ht="45" customHeight="1">
      <c r="A57" s="180" t="inlineStr">
        <is>
          <t>Peso</t>
        </is>
      </c>
      <c r="B57" s="265" t="inlineStr">
        <is>
          <t>R$ 0 a R$ 18,99</t>
        </is>
      </c>
      <c r="C57" s="265" t="inlineStr">
        <is>
          <t>R$ 19 a R$ 48,99</t>
        </is>
      </c>
      <c r="D57" s="265" t="inlineStr">
        <is>
          <t>R$ 49 a R$ 78,99</t>
        </is>
      </c>
      <c r="E57" s="265" t="inlineStr">
        <is>
          <t>R$ 79 a R$ 99,99</t>
        </is>
      </c>
      <c r="F57" s="265" t="inlineStr">
        <is>
          <t>R$ 100 a R$ 119,99</t>
        </is>
      </c>
      <c r="G57" s="265" t="inlineStr">
        <is>
          <t>R$ 120 a R$ 149,99</t>
        </is>
      </c>
      <c r="H57" s="265" t="inlineStr">
        <is>
          <t>R$ 150 a R$ 199,99</t>
        </is>
      </c>
      <c r="I57" s="265" t="inlineStr">
        <is>
          <t>A partir de R$ 200</t>
        </is>
      </c>
      <c r="K57" s="266" t="n">
        <v>0.11</v>
      </c>
    </row>
    <row r="58">
      <c r="A58" s="267" t="inlineStr">
        <is>
          <t>Até 0,3 kg</t>
        </is>
      </c>
      <c r="B58" s="268" t="n">
        <v>5.65</v>
      </c>
      <c r="C58" s="268" t="n">
        <v>6.55</v>
      </c>
      <c r="D58" s="268" t="n">
        <v>7.75</v>
      </c>
      <c r="E58" s="268" t="n">
        <v>12.35</v>
      </c>
      <c r="F58" s="268" t="n">
        <v>14.35</v>
      </c>
      <c r="G58" s="268" t="n">
        <v>16.45</v>
      </c>
      <c r="H58" s="268" t="n">
        <v>18.45</v>
      </c>
      <c r="I58" s="268" t="n">
        <v>20.95</v>
      </c>
      <c r="K58" s="269" t="n">
        <v>0.115</v>
      </c>
    </row>
    <row r="59">
      <c r="A59" s="270" t="inlineStr">
        <is>
          <t>De 0,3 a 0,5 kg</t>
        </is>
      </c>
      <c r="B59" s="271" t="n">
        <v>5.95</v>
      </c>
      <c r="C59" s="271" t="n">
        <v>6.65</v>
      </c>
      <c r="D59" s="271" t="n">
        <v>7.85</v>
      </c>
      <c r="E59" s="271" t="n">
        <v>13.25</v>
      </c>
      <c r="F59" s="271" t="n">
        <v>15.45</v>
      </c>
      <c r="G59" s="271" t="n">
        <v>17.65</v>
      </c>
      <c r="H59" s="271" t="n">
        <v>19.85</v>
      </c>
      <c r="I59" s="271" t="n">
        <v>22.55</v>
      </c>
      <c r="K59" s="266" t="n">
        <v>0.12</v>
      </c>
    </row>
    <row r="60">
      <c r="A60" s="267" t="inlineStr">
        <is>
          <t>De 0,5 a 1 kg</t>
        </is>
      </c>
      <c r="B60" s="268" t="n">
        <v>6.05</v>
      </c>
      <c r="C60" s="268" t="n">
        <v>6.75</v>
      </c>
      <c r="D60" s="268" t="n">
        <v>7.95</v>
      </c>
      <c r="E60" s="268" t="n">
        <v>13.85</v>
      </c>
      <c r="F60" s="268" t="n">
        <v>16.15</v>
      </c>
      <c r="G60" s="268" t="n">
        <v>18.45</v>
      </c>
      <c r="H60" s="268" t="n">
        <v>20.75</v>
      </c>
      <c r="I60" s="268" t="n">
        <v>23.65</v>
      </c>
      <c r="K60" s="269" t="n">
        <v>0.125</v>
      </c>
    </row>
    <row r="61">
      <c r="A61" s="270" t="inlineStr">
        <is>
          <t>De 1 a 1,5 kg</t>
        </is>
      </c>
      <c r="B61" s="271" t="n">
        <v>6.15</v>
      </c>
      <c r="C61" s="271" t="n">
        <v>6.85</v>
      </c>
      <c r="D61" s="271" t="n">
        <v>8.050000000000001</v>
      </c>
      <c r="E61" s="271" t="n">
        <v>14.15</v>
      </c>
      <c r="F61" s="271" t="n">
        <v>16.45</v>
      </c>
      <c r="G61" s="271" t="n">
        <v>18.85</v>
      </c>
      <c r="H61" s="271" t="n">
        <v>21.15</v>
      </c>
      <c r="I61" s="271" t="n">
        <v>24.65</v>
      </c>
      <c r="K61" s="266" t="n">
        <v>0.13</v>
      </c>
    </row>
    <row r="62">
      <c r="A62" s="267" t="inlineStr">
        <is>
          <t>De 1,5 a 2 kg</t>
        </is>
      </c>
      <c r="B62" s="268" t="n">
        <v>6.25</v>
      </c>
      <c r="C62" s="268" t="n">
        <v>6.95</v>
      </c>
      <c r="D62" s="268" t="n">
        <v>8.15</v>
      </c>
      <c r="E62" s="268" t="n">
        <v>14.45</v>
      </c>
      <c r="F62" s="268" t="n">
        <v>16.85</v>
      </c>
      <c r="G62" s="268" t="n">
        <v>19.25</v>
      </c>
      <c r="H62" s="268" t="n">
        <v>21.65</v>
      </c>
      <c r="I62" s="268" t="n">
        <v>24.65</v>
      </c>
      <c r="K62" s="269" t="n">
        <v>0.14</v>
      </c>
    </row>
    <row r="63">
      <c r="A63" s="270" t="inlineStr">
        <is>
          <t>De 2 a 3 kg</t>
        </is>
      </c>
      <c r="B63" s="271" t="n">
        <v>6.35</v>
      </c>
      <c r="C63" s="271" t="n">
        <v>7.95</v>
      </c>
      <c r="D63" s="271" t="n">
        <v>8.550000000000001</v>
      </c>
      <c r="E63" s="271" t="n">
        <v>15.75</v>
      </c>
      <c r="F63" s="271" t="n">
        <v>18.35</v>
      </c>
      <c r="G63" s="271" t="n">
        <v>21.05</v>
      </c>
      <c r="H63" s="271" t="n">
        <v>23.65</v>
      </c>
      <c r="I63" s="271" t="n">
        <v>26.25</v>
      </c>
      <c r="K63" s="266" t="n">
        <v>0.15</v>
      </c>
    </row>
    <row r="64">
      <c r="A64" s="267" t="inlineStr">
        <is>
          <t>De 3 a 4 kg</t>
        </is>
      </c>
      <c r="B64" s="268" t="n">
        <v>6.45</v>
      </c>
      <c r="C64" s="268" t="n">
        <v>8.15</v>
      </c>
      <c r="D64" s="268" t="n">
        <v>8.949999999999999</v>
      </c>
      <c r="E64" s="268" t="n">
        <v>17.05</v>
      </c>
      <c r="F64" s="268" t="n">
        <v>19.85</v>
      </c>
      <c r="G64" s="268" t="n">
        <v>22.65</v>
      </c>
      <c r="H64" s="268" t="n">
        <v>25.55</v>
      </c>
      <c r="I64" s="268" t="n">
        <v>28.35</v>
      </c>
      <c r="K64" s="269" t="n">
        <v>0.16</v>
      </c>
    </row>
    <row r="65">
      <c r="A65" s="270" t="inlineStr">
        <is>
          <t>De 4 a 5 kg</t>
        </is>
      </c>
      <c r="B65" s="271" t="n">
        <v>6.55</v>
      </c>
      <c r="C65" s="271" t="n">
        <v>8.35</v>
      </c>
      <c r="D65" s="271" t="n">
        <v>9.75</v>
      </c>
      <c r="E65" s="271" t="n">
        <v>18.45</v>
      </c>
      <c r="F65" s="271" t="n">
        <v>21.55</v>
      </c>
      <c r="G65" s="271" t="n">
        <v>24.65</v>
      </c>
      <c r="H65" s="271" t="n">
        <v>27.75</v>
      </c>
      <c r="I65" s="271" t="n">
        <v>30.75</v>
      </c>
      <c r="K65" s="266" t="n">
        <v>0.17</v>
      </c>
    </row>
    <row r="66">
      <c r="A66" s="267" t="inlineStr">
        <is>
          <t>De 5 a 6 kg</t>
        </is>
      </c>
      <c r="B66" s="268" t="n">
        <v>6.65</v>
      </c>
      <c r="C66" s="268" t="n">
        <v>8.550000000000001</v>
      </c>
      <c r="D66" s="268" t="n">
        <v>9.949999999999999</v>
      </c>
      <c r="E66" s="268" t="n">
        <v>25.45</v>
      </c>
      <c r="F66" s="268" t="n">
        <v>28.55</v>
      </c>
      <c r="G66" s="268" t="n">
        <v>32.65</v>
      </c>
      <c r="H66" s="268" t="n">
        <v>35.75</v>
      </c>
      <c r="I66" s="268" t="n">
        <v>39.75</v>
      </c>
      <c r="K66" s="269" t="n">
        <v>0.18</v>
      </c>
    </row>
    <row r="67">
      <c r="A67" s="270" t="inlineStr">
        <is>
          <t>De 6 a 7 kg</t>
        </is>
      </c>
      <c r="B67" s="271" t="n">
        <v>6.75</v>
      </c>
      <c r="C67" s="271" t="n">
        <v>8.75</v>
      </c>
      <c r="D67" s="271" t="n">
        <v>10.15</v>
      </c>
      <c r="E67" s="271" t="n">
        <v>27.05</v>
      </c>
      <c r="F67" s="271" t="n">
        <v>31.05</v>
      </c>
      <c r="G67" s="271" t="n">
        <v>36.05</v>
      </c>
      <c r="H67" s="271" t="n">
        <v>40.05</v>
      </c>
      <c r="I67" s="271" t="n">
        <v>44.05</v>
      </c>
      <c r="K67" s="266" t="n">
        <v>0.19</v>
      </c>
    </row>
    <row r="68">
      <c r="A68" s="267" t="inlineStr">
        <is>
          <t>De 7 a 8 kg</t>
        </is>
      </c>
      <c r="B68" s="268" t="n">
        <v>6.85</v>
      </c>
      <c r="C68" s="268" t="n">
        <v>8.949999999999999</v>
      </c>
      <c r="D68" s="268" t="n">
        <v>10.35</v>
      </c>
      <c r="E68" s="268" t="n">
        <v>28.85</v>
      </c>
      <c r="F68" s="268" t="n">
        <v>33.65</v>
      </c>
      <c r="G68" s="268" t="n">
        <v>38.45</v>
      </c>
      <c r="H68" s="268" t="n">
        <v>43.25</v>
      </c>
      <c r="I68" s="268" t="n">
        <v>48.05</v>
      </c>
    </row>
    <row r="69">
      <c r="A69" s="270" t="inlineStr">
        <is>
          <t>De 8 a 9 kg</t>
        </is>
      </c>
      <c r="B69" s="271" t="n">
        <v>6.95</v>
      </c>
      <c r="C69" s="271" t="n">
        <v>9.15</v>
      </c>
      <c r="D69" s="271" t="n">
        <v>10.55</v>
      </c>
      <c r="E69" s="271" t="n">
        <v>29.65</v>
      </c>
      <c r="F69" s="271" t="n">
        <v>34.55</v>
      </c>
      <c r="G69" s="271" t="n">
        <v>39.55</v>
      </c>
      <c r="H69" s="271" t="n">
        <v>44.45</v>
      </c>
      <c r="I69" s="271" t="n">
        <v>49.35</v>
      </c>
    </row>
    <row r="76" customFormat="1" s="141">
      <c r="A76" s="141" t="inlineStr">
        <is>
          <t>Shoppe</t>
        </is>
      </c>
    </row>
    <row r="77" customFormat="1" s="141"/>
    <row r="78">
      <c r="A78" s="186" t="inlineStr">
        <is>
          <t>Faixa</t>
        </is>
      </c>
      <c r="B78" s="186" t="inlineStr">
        <is>
          <t>Preço até</t>
        </is>
      </c>
      <c r="C78" s="186" t="inlineStr">
        <is>
          <t>Taxa %</t>
        </is>
      </c>
      <c r="D78" s="186" t="inlineStr">
        <is>
          <t>Taxa fixa</t>
        </is>
      </c>
    </row>
    <row r="79">
      <c r="A79" s="270" t="inlineStr">
        <is>
          <t>Faixa 1</t>
        </is>
      </c>
      <c r="B79" s="270" t="n">
        <v>79.98999999999999</v>
      </c>
      <c r="C79" s="272" t="n">
        <v>0.2</v>
      </c>
      <c r="D79" s="270" t="n">
        <v>4</v>
      </c>
    </row>
    <row r="80">
      <c r="A80" s="267" t="inlineStr">
        <is>
          <t>Faixa 2</t>
        </is>
      </c>
      <c r="B80" s="267" t="n">
        <v>99.98999999999999</v>
      </c>
      <c r="C80" s="273" t="n">
        <v>0.14</v>
      </c>
      <c r="D80" s="267" t="n">
        <v>16</v>
      </c>
    </row>
    <row r="81">
      <c r="A81" s="270" t="inlineStr">
        <is>
          <t>Faixa 3</t>
        </is>
      </c>
      <c r="B81" s="270" t="n">
        <v>199.99</v>
      </c>
      <c r="C81" s="272" t="n">
        <v>0.14</v>
      </c>
      <c r="D81" s="270" t="n">
        <v>20</v>
      </c>
    </row>
    <row r="82">
      <c r="A82" s="267" t="inlineStr">
        <is>
          <t>Faixa 4</t>
        </is>
      </c>
      <c r="B82" s="267" t="n">
        <v>499.99</v>
      </c>
      <c r="C82" s="273" t="n">
        <v>0.14</v>
      </c>
      <c r="D82" s="267" t="n">
        <v>26</v>
      </c>
    </row>
    <row r="83">
      <c r="A83" s="270" t="inlineStr">
        <is>
          <t>Faixa 5</t>
        </is>
      </c>
      <c r="B83" s="270" t="n">
        <v>999999</v>
      </c>
      <c r="C83" s="272" t="n">
        <v>0.14</v>
      </c>
      <c r="D83" s="270" t="n">
        <v>28</v>
      </c>
    </row>
  </sheetData>
  <mergeCells count="6">
    <mergeCell ref="A53:XFD54"/>
    <mergeCell ref="A2:K2"/>
    <mergeCell ref="A56:I56"/>
    <mergeCell ref="A7:XFD8"/>
    <mergeCell ref="A1:K1"/>
    <mergeCell ref="A76:XFD77"/>
  </mergeCells>
  <pageMargins left="0.511811024" right="0.511811024" top="0.787401575" bottom="0.787401575" header="0.31496062" footer="0.31496062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Manalink</dc:creator>
  <dcterms:created xmlns:dcterms="http://purl.org/dc/terms/" xmlns:xsi="http://www.w3.org/2001/XMLSchema-instance" xsi:type="dcterms:W3CDTF">2026-03-18T11:11:19Z</dcterms:created>
  <dcterms:modified xmlns:dcterms="http://purl.org/dc/terms/" xmlns:xsi="http://www.w3.org/2001/XMLSchema-instance" xsi:type="dcterms:W3CDTF">2026-04-14T17:08:29Z</dcterms:modified>
  <cp:lastModifiedBy>Manalink</cp:lastModifiedBy>
</cp:coreProperties>
</file>